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<sst xmlns="http://schemas.openxmlformats.org/spreadsheetml/2006/main" count="239" uniqueCount="162">
  <si>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</si>
  <si>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</si>
  <si>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</si>
  <si>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</si>
  <si>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</si>
  <si>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</si>
  <si>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</si>
  <si>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</si>
  <si>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</si>
  <si>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</si>
  <si>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</si>
  <si>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</si>
  <si>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</si>
  <si>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</si>
  <si>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</si>
  <si>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team leader and all members</t>
  </si>
  <si>
    <t>Redefine the project scope if necessary, and assign the tasks to other team members.</t>
  </si>
  <si>
    <t>Realized. Two members (Paul Probst, Victor Cadena) left the course before Iteration 1 work began; the team has been four members since 09/12/2026. Mitigation executed: roles reassigned (Design &amp; Implementation Leader added to Duc, Security Leader to Miles) and scope reduced in SPPP v2 (five features removed, two moved to a lower tier). Reopened with impact rescored from 4 to 5, since each further departure now costs a quarter of the team. Iteration 2: no further departures; work was split into owned chunks across all four members. Iteration 3: No departures; twelve tasks split across all four members.</t>
  </si>
  <si>
    <t>Open</t>
  </si>
  <si>
    <t>Lack of motivation or responsibility</t>
  </si>
  <si>
    <t>A team member may fall behind on assigned work, delaying dependent tasks or increasing the workload of other members.</t>
  </si>
  <si>
    <t>10/19/2026</t>
  </si>
  <si>
    <t>Track assignments and progress each iteration. Identify missed work early, redistribute tasks when necessary, and prioritize essential requirements over lower-priority work.</t>
  </si>
  <si>
    <t>Iteration 1 work was split into owned workstreams with stated dependencies; all four were delivered and merged (PRs #8, #14, #16, #17). Iteration 2: 11 chunks, each with a named owner, its dependencies, and a 'Done when' check, tracked in Discord and on the Jira sprint. Iteration 3: Twelve tasks with named owners, dependencies and "Done when" checks; all twelve merged (PRs #60–#73, except #63 and #68, which are P2's).</t>
  </si>
  <si>
    <t>Team member availability or uneven workload</t>
  </si>
  <si>
    <t>Team members may have competing responsibilities or become temporarily unavailable, and uneven distribution of work could delay essential features or create dependencies on individual team members.</t>
  </si>
  <si>
    <t>Divide essential functionality across the team while avoiding unnecessary single-person dependencies. Track work during each iteration, document implementation decisions, conduct code reviews, and redistribute tasks when workload or availability changes.</t>
  </si>
  <si>
    <t>Iteration 1 used one owner per workstream. After the team reduction, implementation is shared by all four members rather than split between frontend and backend leads. Iteration 2: backend and frontend chunks were made independent (new response fields optional on the frontend), so a late chunk could not block anyone else's. Iteration 3: Two foundation tasks first, then four tracks that met only through written contracts, so a late task blocked only its own track.</t>
  </si>
  <si>
    <t>Communication</t>
  </si>
  <si>
    <t>duplicate/useless work</t>
  </si>
  <si>
    <t>Team members may unknowingly work on the same functionality, wasting limited development time.</t>
  </si>
  <si>
    <t>Assign ownership of tasks before development begins and track assignments using the team’s project-management system. Discuss current and upcoming work during team meetings.</t>
  </si>
  <si>
    <t>The Iteration 1 plan assigned every file to exactly one workstream and routed shared files through a single owner; no duplicated work was identified. The Iteration 2 plan did the same, with an ownership rule for every shared file; no duplicated work. Iteration 3: One owner per file (contract C10); no duplicate work.</t>
  </si>
  <si>
    <t>inconsistent work</t>
  </si>
  <si>
    <t>Independently developed frontend, backend, AI, and configuration components may make incompatible assumptions about interfaces, data structures, or behavior.</t>
  </si>
  <si>
    <t>Define component interfaces and shared data structures before implementation. Communicate interface changes and integrate components regularly rather than waiting until the end of an iteration.</t>
  </si>
  <si>
    <t>The API contract, database schema, and error format were published in the Iteration 1 plan before coding, and frontend and backend were built and integrated against them (PRs #14, #16, #17). Iteration 2: the API additions (due_counts, intervals) and each study component's props were agreed in the plan before coding. Iteration 3: API, backend and frontend contracts (C1–C10) agreed before coding; changes went through the channel and the plan.</t>
  </si>
  <si>
    <t xml:space="preserve">Requirements </t>
  </si>
  <si>
    <t>unclear requirements</t>
  </si>
  <si>
    <t>Requirements may be insufficiently defined, resulting in functionality that does not meet the intended behavior of the application.</t>
  </si>
  <si>
    <t>Requirements leader</t>
  </si>
  <si>
    <t>Define essential requirements as clear user stories with expected behavior. Review requirements with the team before implementation and clarify ambiguous requirements before development begins.</t>
  </si>
  <si>
    <t>Requirements re-tiered and narrowed in SPPP v2; each remaining essential feature has a defined user story and scope. Iteration 2: every chunk had a user story and Given/When/Then acceptance examples, and tests are named after them. Iteration 3: Eight acceptance criteria and per-task Given/When/Then tables; tests named after them.</t>
  </si>
  <si>
    <t>scope creep</t>
  </si>
  <si>
    <t>New AI, SRS, study, or UI capabilities may be added during development and jeopardize completion of the essential functionality.</t>
  </si>
  <si>
    <t>Requirements leader / team leader</t>
  </si>
  <si>
    <t>Maintain the essential/desirable/optional classification. Require proposed additions to be evaluated against schedule and essential requirements. Defer new functionality to desirable or optional scope when it threatens essential work.</t>
  </si>
  <si>
    <t>Scope reduced in SPPP v2 after the team shrank: five features removed and two moved to a lower tier. New work is evaluated against the remaining schedule before it is accepted. Iteration 2: typed-answer mode was cut and AI generation moved to Iteration 3 to finish study mode; the plan lists what is out of scope. Iteration 3: Multiple choice cut; the plan's "Out of scope" list held.</t>
  </si>
  <si>
    <t>Management</t>
  </si>
  <si>
    <t>improper task assignments</t>
  </si>
  <si>
    <t>Tasks may be assigned without considering workload, dependencies, or team members’ primary responsibilities.</t>
  </si>
  <si>
    <t>Team leader</t>
  </si>
  <si>
    <t>Assign work based on team roles and dependencies while monitoring workload. Reassign tasks when progress indicates that an assignment threatens iteration objectives.</t>
  </si>
  <si>
    <t>Iteration 1 tasks were assigned by workstream with dependencies stated up front. Roles were reassigned after two members left. Iteration 3: Tasks assigned by track and dependency; foundations done first by Miles.</t>
  </si>
  <si>
    <t>improper planning</t>
  </si>
  <si>
    <t>Underestimating the effort required for the SRS, AI integration, frontend, backend, or deployment could prevent completion within the semester.</t>
  </si>
  <si>
    <t>Estimate work by iteration, compare estimates with actual hours after each iteration, and revise later estimates and scope based on actual progress. Prioritize essential requirements when schedule pressure occurs.</t>
  </si>
  <si>
    <t>Iteration 2 and 3 estimates revised for a four-person team in SPPP v2; actual hours are compared against estimates at the end of each iteration. Realized in Iteration 2: AI deck generation, planned for this iteration, did not fit alongside study mode and was moved to Iteration 3. Mitigation executed: study mode prioritized and delivered complete, and Iteration 3 re-planned. Iteration 3: Both features delivered. Deployed to Render on 10/12 (PRs #77–#83); P4 passed on the live site.</t>
  </si>
  <si>
    <t>Design and implementation</t>
  </si>
  <si>
    <t>Improper design</t>
  </si>
  <si>
    <t>Poor architectural or data-model decisions could make the SRS, AI generation, duplicate detection, frontend, and backend difficult to integrate or modify.</t>
  </si>
  <si>
    <t>Design &amp; Implementation Leader</t>
  </si>
  <si>
    <t>Define the application’s major components, interfaces, and core card/deck/review data model early. Keep the card model generic rather than language-specific and review major design decisions with the team before implementation.</t>
  </si>
  <si>
    <t>Schema, API contract, and error model were defined before implementation in Iteration 1. Schema changes are now versioned as database migrations and verified against the models in CI. Iteration 2 needed no schema changes; the scheduler is a pure module behind an interface frozen in Lab 3. Iteration 3: Provider isolated behind one module with a stand-in; one hand-written migration, checked in CI.</t>
  </si>
  <si>
    <t>LLM generates inaccurate or low-quality flashcards</t>
  </si>
  <si>
    <t>The LLM may generate incorrect, ambiguous, irrelevant, or poorly formatted flashcards, reducing the quality and usefulness of generated decks.</t>
  </si>
  <si>
    <t>Use structured prompts and output validation. Allow users to review, edit, or delete generated cards. Test generation using representative prompts and subjects before release.</t>
  </si>
  <si>
    <t>Moved to Iteration 3 with AI generation. Planned controls unchanged: structured prompts, validation before saving, user review and editing, and a permanent AI-generated label. Iteration 3: Controls in place: written prompt rules, schema-checked replies, cleanup of giveaway and duplicate cards, learner review before saving, permanent label. Accuracy itself isn't guaranteed.</t>
  </si>
  <si>
    <t xml:space="preserve">Testing </t>
  </si>
  <si>
    <t>Not enough testing</t>
  </si>
  <si>
    <t>Insufficient testing may allow defects in SRS scheduling, deck management, AI-generated data, APIs, or UI workflows to remain undetected.</t>
  </si>
  <si>
    <t>Require unit testing of critical backend/SRS logic and integration testing of major workflows. Test essential features before desirable or optional features receive development priority.</t>
  </si>
  <si>
    <t>Backend tests run against both SQLite and PostgreSQL on every pull request with a 90% minimum coverage gate; frontend lint and tests also run in CI. Iteration 2: the frontend moved to Vitest and React Testing Library, with component tests for every page and a 90% coverage gate (174 tests, 91.66%); the backend has 201 tests at 97.02%. Iteration 3: 391 backend tests at 98.10% and 318 frontend tests at 95.21% coverage.</t>
  </si>
  <si>
    <t>Integration and deployment</t>
  </si>
  <si>
    <t>Not enough time for integration and deployment</t>
  </si>
  <si>
    <t>Components may work independently but require more integration, Docker configuration, debugging, or deployment effort than anticipated.</t>
  </si>
  <si>
    <t>Configuration Leader</t>
  </si>
  <si>
    <t>Establish the Docker environment and integration process early. Integrate frontend and backend incrementally and reserve time in each iteration for integration rather than postponing it until the end.</t>
  </si>
  <si>
    <t>Docker environment in place, and CI builds the images and smoke-tests the full stack on every pull request. CD publishes images to GHCR. Render deploy hooks are still not configured, so deploys are skipped and the demo runs on Docker Compose. Iteration 2: CI on develop failed when the image scan found OpenSSL vulnerabilities that a cached build layer had skipped patching; fixed in PR #44. Iteration 3: Realized: Render's pre-deploy command is paid-only (PR #68), and free services can't receive private-network traffic (caught in plan review, PR #59; trailing-slash trap caught in PR #63).</t>
  </si>
  <si>
    <t>Merge conflicts or incompatible code changes</t>
  </si>
  <si>
    <t>Concurrent development may result in merge conflicts, incompatible changes, or regressions when independently developed components are integrated.</t>
  </si>
  <si>
    <t>Use feature branches and pull requests, keep changes focused, merge frequently, review code before merging, and run automated tests or other integration checks before changes are accepted.</t>
  </si>
  <si>
    <t>Feature branches and pull requests with a required review and required CI checks, enforced by a repository ruleset. One merge conflict (PR #16) was resolved before merge. Iteration 2: one owner per file, and the one planned overlap (B2 and B3 in api/decks.py) was confined to separate lines. Iteration 3: One owner per file, and each PR rebased on develop before merging.</t>
  </si>
  <si>
    <t>LLM API availability, rate limits, or cost</t>
  </si>
  <si>
    <t>The external LLM API may become unavailable, impose rate limits, or incur costs that interfere with AI deck generation.</t>
  </si>
  <si>
    <t>Isolate LLM access behind a service/API layer, handle API failures gracefully, limit unnecessary requests and deck-generation size, and avoid making non-AI application functionality dependent on API availability.</t>
  </si>
  <si>
    <t>Moved to Iteration 3. Planned controls unchanged: LLM calls isolated server-side, capped prompt length and cards per request, a per-user daily limit, and every other feature works without the API. Iteration 3: Partly realized: 20 requests a day; a 503 from an overloaded model and a 45-second timeout on Gemini 3.8 Flash during testing. Controls: caps, stand-in, Flash-Lite fallback, no billing.</t>
  </si>
  <si>
    <t>Third-party dependency changes and vulnerabilities</t>
  </si>
  <si>
    <t>A new release of a dependency, or a newly published vulnerability, can break installs or fail CI with no change to our code.</t>
  </si>
  <si>
    <t>Security Leader</t>
  </si>
  <si>
    <t>10/13/2026</t>
  </si>
  <si>
    <t>Pin dependencies that have broken us; scan both images with Trivy and run CodeQL on every pull request; keep Dependabot security alerts on; rebuild the OS-update layer of the frontend image on every build.</t>
  </si>
  <si>
    <t>Realized twice in Iteration 2: SQLAlchemy 2.1 changed the default PostgreSQL driver and broke every connection (pinned to 2.0.54, PR #35); OpenSSL vulnerabilities failed the image scan on develop (PR #44). Iteration 3: Realized: Docker Hub's anonymous pull limit failed three CI jobs on 10/9; re-run fixed it.</t>
  </si>
  <si>
    <t>Documents drift from the code</t>
  </si>
  <si>
    <t>Design and test documents describe planned components rather than what was built, which misleads reviewers and teammates.</t>
  </si>
  <si>
    <t>Update the SDD and STD from the code at the end of every iteration, in the release pull request, and label planned work as planned.</t>
  </si>
  <si>
    <t>Realized: the Iteration 1 SDD described services, tables, and endpoints that were planned but not built. Corrected in the Iteration 2 SDD. Iteration 3: Iteration 3 docs updated from the code and CI at the end of the iteration (this pass).</t>
  </si>
  <si>
    <t>External service</t>
  </si>
  <si>
    <t>Free Gemini quota too small for testing and the demo</t>
  </si>
  <si>
    <t>The free tier allows about 20 requests a day, which testing, teammates and the demo can use up.</t>
  </si>
  <si>
    <t>Develop on the stand-in; teammates test with their own keys; site-wide cap of 18; Flash-Lite fallback (500 a day); record the demo before the deadline.</t>
  </si>
  <si>
    <t>P1 measured 20 a day for every Flash model. The quota held through P4 on 10/12 (all three modes ran live).</t>
  </si>
  <si>
    <t>Gemini fails while recording the demo video</t>
  </si>
  <si>
    <t>Google's quota or service may fail while we record, so generation returns errors on camera.</t>
  </si>
  <si>
    <t>Wait a minute and retake; switch to Flash-Lite if the day's quota is gone; as a last resort set AI_PROVIDER=fake and say so on camera. The presentation itself has no live demo.</t>
  </si>
  <si>
    <t>Pending: after recording.</t>
  </si>
  <si>
    <t>A generation takes over 45 seconds</t>
  </si>
  <si>
    <t>A generation may run past the provider's 45-second limit, so the learner gets an error.</t>
  </si>
  <si>
    <t>Low thinking; 45-second limit under nginx's 60; a clear "try again" message.</t>
  </si>
  <si>
    <t>Gemini 3.8 Flash timed out at 45 s in testing, so 3.5 Flash was chosen.</t>
  </si>
  <si>
    <t>Security</t>
  </si>
  <si>
    <t>Learner text manipulates the model (prompt injection)</t>
  </si>
  <si>
    <t>Text a learner types or uploads could contain instructions that try to change what the model does.</t>
  </si>
  <si>
    <t>Learner text inside tags, closing tags escaped in any case, rules call it material, schema-checked reply, learner reviews every card.</t>
  </si>
  <si>
    <t>Built and tested in B1 (PR #65).</t>
  </si>
  <si>
    <t>The API key leaks</t>
  </si>
  <si>
    <t>The Gemini API key could end up in a commit, a log or the channel, letting others use our quota.</t>
  </si>
  <si>
    <t>Key only in the backend's environment; .env gitignored; never in logs; delete and replace at once if leaked.</t>
  </si>
  <si>
    <t>No leak; CI has no key.</t>
  </si>
  <si>
    <t>The live frontend can't reach the backend</t>
  </si>
  <si>
    <t>Render's free services can't receive private-network traffic, so the frontend may fail to reach the API.</t>
  </si>
  <si>
    <t>Public API_ORIGIN, no trailing slash; nginx sends the backend's Host header and SNI.</t>
  </si>
  <si>
    <t>Caught in plan review (PR #59) and PR #63. Confirmed live in P4 on 10/12.</t>
  </si>
  <si>
    <t>Closed</t>
  </si>
  <si>
    <t>Render rejects the pre-deploy command</t>
  </si>
  <si>
    <t>Render's pre-deploy command is a paid feature, so migrations may not run on the free tier.</t>
  </si>
  <si>
    <t>Run migrations in the start command.</t>
  </si>
  <si>
    <t>Realized; fixed in PR #68. Close when #68 merged.</t>
  </si>
  <si>
    <t>Iteration 3 breaks on its first deploy</t>
  </si>
  <si>
    <t>The first deploy of the AI features may fail on Render even though CI passes.</t>
  </si>
  <si>
    <t>Pre-release at code freeze as a rehearsal; the old version keeps serving until a fix deploys.</t>
  </si>
  <si>
    <t>Happened: the first deploys needed fixes (PRs #79, #82, #83, #85, #86); all fixed and P4 passed on 10/12.</t>
  </si>
  <si>
    <t>nginx rejects uploads in production</t>
  </si>
  <si>
    <t>Production nginx may refuse file uploads larger than its default body size.</t>
  </si>
  <si>
    <t>client_max_body_size 6m; P4 uploads a real PDF.</t>
  </si>
  <si>
    <t>5 MB passed and 7 MB got 413 in PR #60's check. A real PDF uploaded on the live site in P4 on 10/12.</t>
  </si>
  <si>
    <t>Render deletes the free database</t>
  </si>
  <si>
    <t>Render's free database expires 30 days after it is created.</t>
  </si>
  <si>
    <t>It lasts 30 days; record the creation date; never recreate it.</t>
  </si>
  <si>
    <t>Creation date pending confirmation.</t>
  </si>
  <si>
    <t>The live site is asleep and slow to start</t>
  </si>
  <si>
    <t>Free services sleep after 15 minutes, so the first visit takes about 30 seconds.</t>
  </si>
  <si>
    <t>Team leader and all members</t>
  </si>
  <si>
    <t>Open it a few minutes before presenting or recording.</t>
  </si>
  <si>
    <t>Expected on the free tier.</t>
  </si>
  <si>
    <t>A JSON column change isn't saved</t>
  </si>
  <si>
    <t>Editing the candidates JSON list in place is silently not saved by SQLAlchemy.</t>
  </si>
  <si>
    <t>QA Leader</t>
  </si>
  <si>
    <t>Replace the list, never mutate it (rule 20); an expire_all test.</t>
  </si>
  <si>
    <t>Test passes (PR #69).</t>
  </si>
  <si>
    <t>Two simultaneous accepts create a card twice</t>
  </si>
  <si>
    <t>Two accept requests arriving together could both see a card as pending and create it twice.</t>
  </si>
  <si>
    <t>Lock the generation row while accepting.</t>
  </si>
  <si>
    <t>40 races on Postgres: 0 duplicates with the lock, 39 without (PR #69 review).</t>
  </si>
  <si>
    <t>A foundation task slips</t>
  </si>
  <si>
    <t>If the foundation tasks (0a, 0b) are late, every other task in their track waits.</t>
  </si>
  <si>
    <t>Do 0a and 0b first and keep them small.</t>
  </si>
  <si>
    <t>Both merged 9 Oct.</t>
  </si>
  <si>
    <t>Merges pile up before the freeze</t>
  </si>
  <si>
    <t>Many PRs opening at once near the end leave too little time for review.</t>
  </si>
  <si>
    <t>Freeze at the end of Sunday; cut anything not merged.</t>
  </si>
  <si>
    <t>All twelve tasks merged by early 12 Oct (UTC).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</si>
</sst>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M/d/yyyy"/>
  </numFmts>
  <fonts count="3">
    <font>
      <sz val="10.0"/>
      <color rgb="FF000000"/>
      <name val="Arial"/>
    </font>
    <font>
      <name val="Arial"/>
    </font>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wrapText="1"/>
    </xf>
    <xf borderId="0" fillId="0" fontId="1" numFmtId="0" xfId="0" applyAlignment="1" applyFont="1">
      <alignment horizontal="right" shrinkToFit="0" vertical="bottom" wrapText="1"/>
    </xf>
    <xf borderId="0" fillId="0" fontId="1" numFmtId="164" xfId="0" applyAlignment="1" applyFont="1" applyNumberFormat="1">
      <alignment horizontal="right" shrinkToFit="0" vertical="bottom" wrapText="1"/>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1" numFmtId="165" xfId="0" applyAlignment="1" applyFont="1" applyNumberFormat="1">
      <alignment horizontal="right" readingOrder="0" shrinkToFit="0" vertical="bottom" wrapText="1"/>
    </xf>
    <xf borderId="0" fillId="0" fontId="1" numFmtId="0" xfId="0" applyAlignment="1" applyFont="1">
      <alignment horizontal="right" readingOrder="0" shrinkToFit="0" vertical="bottom" wrapText="1"/>
    </xf>
    <xf borderId="0" fillId="2" fontId="1" numFmtId="0" xfId="0" applyAlignment="1" applyFill="1" applyFont="1">
      <alignment shrinkToFit="0" vertical="bottom" wrapText="1"/>
    </xf>
    <xf borderId="0" fillId="0" fontId="1" numFmtId="0" xfId="0" applyAlignment="1" applyFont="1">
      <alignment readingOrder="0" shrinkToFit="0" vertical="bottom" wrapText="1"/>
    </xf>
    <xf borderId="0" fillId="0" fontId="2" numFmtId="0" xfId="0" applyAlignment="1" applyFont="1">
      <alignment readingOrder="0" shrinkToFit="0" wrapText="1"/>
    </xf>
    <xf borderId="0" fillId="0" fontId="1" numFmtId="0" xfId="0" applyAlignment="1" applyFont="1">
      <alignment horizontal="right" readingOrder="0" shrinkToFit="0" vertical="bottom" wrapText="1"/>
    </xf>
    <xf borderId="0" fillId="0" fontId="1" numFmtId="0" xfId="0" applyAlignment="1" applyFont="1">
      <alignment horizontal="right" shrinkToFit="0" vertical="bottom" wrapText="1"/>
    </xf>
    <xf quotePrefix="1" borderId="0" fillId="0" fontId="1" numFmtId="0" xfId="0" applyAlignment="1" applyFont="1">
      <alignment horizontal="right" readingOrder="0" shrinkToFit="0" vertical="bottom" wrapText="1"/>
    </xf>
    <xf borderId="1" fillId="0" fontId="1" numFmtId="0" xfId="0" applyAlignment="1" applyBorder="1" applyFont="1">
      <alignment readingOrder="0" shrinkToFit="0" vertical="bottom" wrapText="1"/>
    </xf>
    <xf borderId="0" fillId="0" fontId="1" numFmtId="166" xfId="0" applyAlignment="1" applyFont="1" applyNumberFormat="1">
      <alignment horizontal="right" readingOrder="0" shrinkToFit="0" vertical="bottom" wrapText="1"/>
    </xf>
    <xf borderId="1" fillId="0" fontId="1" numFmtId="0" xfId="0" applyAlignment="1" applyBorder="1" applyFont="1">
      <alignment shrinkToFit="0" vertical="bottom" wrapText="1"/>
    </xf>
    <xf borderId="0" fillId="0" fontId="1" numFmtId="165" xfId="0" applyAlignment="1" applyFont="1" applyNumberFormat="1">
      <alignment readingOrder="0" shrinkToFit="0" vertical="bottom" wrapText="1"/>
    </xf>
    <xf borderId="0" fillId="0" fontId="2" numFmtId="165"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0.75"/>
    <col customWidth="1" min="9" max="9" width="11.75"/>
    <col customWidth="1" min="10" max="10" width="37.0"/>
    <col customWidth="1" min="11" max="11" width="16.38"/>
    <col customWidth="1" min="12" max="12" width="8.25"/>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row>
    <row r="2">
      <c r="A2" s="1" t="s">
        <v>12</v>
      </c>
      <c r="B2" s="1" t="s">
        <v>13</v>
      </c>
      <c r="C2" s="1" t="s">
        <v>14</v>
      </c>
      <c r="D2" s="3">
        <v>2.0</v>
      </c>
      <c r="E2" s="3">
        <v>5.0</v>
      </c>
      <c r="F2" s="3">
        <v>4.0</v>
      </c>
      <c r="G2" s="3">
        <f t="shared" ref="G2:G16" si="1">(6-D2)*(6-E2)*F2</f>
        <v>16</v>
      </c>
      <c r="H2" s="1" t="s">
        <v>15</v>
      </c>
      <c r="I2" s="4">
        <v>46314.0</v>
      </c>
      <c r="J2" s="1" t="s">
        <v>16</v>
      </c>
      <c r="K2" s="5" t="s">
        <v>17</v>
      </c>
      <c r="L2" s="1" t="s">
        <v>18</v>
      </c>
      <c r="M2" s="6"/>
      <c r="N2" s="6"/>
      <c r="O2" s="6"/>
      <c r="P2" s="6"/>
      <c r="Q2" s="6"/>
      <c r="R2" s="6"/>
      <c r="S2" s="6"/>
      <c r="T2" s="6"/>
      <c r="U2" s="6"/>
      <c r="V2" s="6"/>
      <c r="W2" s="6"/>
      <c r="X2" s="6"/>
      <c r="Y2" s="6"/>
      <c r="Z2" s="6"/>
      <c r="AA2" s="6"/>
    </row>
    <row r="3">
      <c r="A3" s="7"/>
      <c r="B3" s="1" t="s">
        <v>19</v>
      </c>
      <c r="C3" s="1" t="s">
        <v>20</v>
      </c>
      <c r="D3" s="3">
        <v>3.0</v>
      </c>
      <c r="E3" s="3">
        <v>4.0</v>
      </c>
      <c r="F3" s="3">
        <v>3.0</v>
      </c>
      <c r="G3" s="3">
        <f t="shared" si="1"/>
        <v>18</v>
      </c>
      <c r="H3" s="1" t="s">
        <v>15</v>
      </c>
      <c r="I3" s="3" t="s">
        <v>21</v>
      </c>
      <c r="J3" s="1" t="s">
        <v>22</v>
      </c>
      <c r="K3" s="5" t="s">
        <v>23</v>
      </c>
      <c r="L3" s="1" t="s">
        <v>18</v>
      </c>
      <c r="M3" s="6"/>
      <c r="N3" s="6"/>
      <c r="O3" s="6"/>
      <c r="P3" s="6"/>
      <c r="Q3" s="6"/>
      <c r="R3" s="6"/>
      <c r="S3" s="6"/>
      <c r="T3" s="6"/>
      <c r="U3" s="6"/>
      <c r="V3" s="6"/>
      <c r="W3" s="6"/>
      <c r="X3" s="6"/>
      <c r="Y3" s="6"/>
      <c r="Z3" s="6"/>
      <c r="AA3" s="6"/>
    </row>
    <row r="4">
      <c r="A4" s="8"/>
      <c r="B4" s="1" t="s">
        <v>24</v>
      </c>
      <c r="C4" s="1" t="s">
        <v>25</v>
      </c>
      <c r="D4" s="3">
        <v>3.0</v>
      </c>
      <c r="E4" s="3">
        <v>4.0</v>
      </c>
      <c r="F4" s="3">
        <v>2.0</v>
      </c>
      <c r="G4" s="3">
        <f t="shared" si="1"/>
        <v>12</v>
      </c>
      <c r="H4" s="1" t="s">
        <v>15</v>
      </c>
      <c r="I4" s="3" t="s">
        <v>21</v>
      </c>
      <c r="J4" s="1" t="s">
        <v>26</v>
      </c>
      <c r="K4" s="5" t="s">
        <v>27</v>
      </c>
      <c r="L4" s="1" t="s">
        <v>18</v>
      </c>
      <c r="M4" s="6"/>
      <c r="N4" s="6"/>
      <c r="O4" s="6"/>
      <c r="P4" s="6"/>
      <c r="Q4" s="6"/>
      <c r="R4" s="6"/>
      <c r="S4" s="6"/>
      <c r="T4" s="6"/>
      <c r="U4" s="6"/>
      <c r="V4" s="6"/>
      <c r="W4" s="6"/>
      <c r="X4" s="6"/>
      <c r="Y4" s="6"/>
      <c r="Z4" s="6"/>
      <c r="AA4" s="6"/>
    </row>
    <row r="5">
      <c r="A5" s="1" t="s">
        <v>28</v>
      </c>
      <c r="B5" s="1" t="s">
        <v>29</v>
      </c>
      <c r="C5" s="1" t="s">
        <v>30</v>
      </c>
      <c r="D5" s="3">
        <v>2.0</v>
      </c>
      <c r="E5" s="3">
        <v>3.0</v>
      </c>
      <c r="F5" s="3">
        <v>1.0</v>
      </c>
      <c r="G5" s="3">
        <f t="shared" si="1"/>
        <v>12</v>
      </c>
      <c r="H5" s="1" t="s">
        <v>15</v>
      </c>
      <c r="I5" s="3" t="s">
        <v>21</v>
      </c>
      <c r="J5" s="1" t="s">
        <v>31</v>
      </c>
      <c r="K5" s="5" t="s">
        <v>32</v>
      </c>
      <c r="L5" s="1" t="s">
        <v>18</v>
      </c>
      <c r="M5" s="6"/>
      <c r="N5" s="6"/>
      <c r="O5" s="6"/>
      <c r="P5" s="6"/>
      <c r="Q5" s="6"/>
      <c r="R5" s="6"/>
      <c r="S5" s="6"/>
      <c r="T5" s="6"/>
      <c r="U5" s="6"/>
      <c r="V5" s="6"/>
      <c r="W5" s="6"/>
      <c r="X5" s="6"/>
      <c r="Y5" s="6"/>
      <c r="Z5" s="6"/>
      <c r="AA5" s="6"/>
    </row>
    <row r="6">
      <c r="A6" s="8"/>
      <c r="B6" s="1" t="s">
        <v>33</v>
      </c>
      <c r="C6" s="1" t="s">
        <v>34</v>
      </c>
      <c r="D6" s="3">
        <v>3.0</v>
      </c>
      <c r="E6" s="3">
        <v>4.0</v>
      </c>
      <c r="F6" s="3">
        <v>2.0</v>
      </c>
      <c r="G6" s="3">
        <f t="shared" si="1"/>
        <v>12</v>
      </c>
      <c r="H6" s="1" t="s">
        <v>15</v>
      </c>
      <c r="I6" s="9">
        <v>46308.0</v>
      </c>
      <c r="J6" s="1" t="s">
        <v>35</v>
      </c>
      <c r="K6" s="5" t="s">
        <v>36</v>
      </c>
      <c r="L6" s="1" t="s">
        <v>18</v>
      </c>
      <c r="M6" s="6"/>
      <c r="N6" s="6"/>
      <c r="O6" s="6"/>
      <c r="P6" s="6"/>
      <c r="Q6" s="6"/>
      <c r="R6" s="6"/>
      <c r="S6" s="6"/>
      <c r="T6" s="6"/>
      <c r="U6" s="6"/>
      <c r="V6" s="6"/>
      <c r="W6" s="6"/>
      <c r="X6" s="6"/>
      <c r="Y6" s="6"/>
      <c r="Z6" s="6"/>
      <c r="AA6" s="6"/>
    </row>
    <row r="7">
      <c r="A7" s="1" t="s">
        <v>37</v>
      </c>
      <c r="B7" s="1" t="s">
        <v>38</v>
      </c>
      <c r="C7" s="1" t="s">
        <v>39</v>
      </c>
      <c r="D7" s="3">
        <v>3.0</v>
      </c>
      <c r="E7" s="3">
        <v>4.0</v>
      </c>
      <c r="F7" s="3">
        <v>2.0</v>
      </c>
      <c r="G7" s="3">
        <f t="shared" si="1"/>
        <v>12</v>
      </c>
      <c r="H7" s="1" t="s">
        <v>40</v>
      </c>
      <c r="I7" s="9">
        <v>46308.0</v>
      </c>
      <c r="J7" s="1" t="s">
        <v>41</v>
      </c>
      <c r="K7" s="5" t="s">
        <v>42</v>
      </c>
      <c r="L7" s="1" t="s">
        <v>18</v>
      </c>
      <c r="M7" s="6"/>
      <c r="N7" s="6"/>
      <c r="O7" s="6"/>
      <c r="P7" s="6"/>
      <c r="Q7" s="6"/>
      <c r="R7" s="6"/>
      <c r="S7" s="6"/>
      <c r="T7" s="6"/>
      <c r="U7" s="6"/>
      <c r="V7" s="6"/>
      <c r="W7" s="6"/>
      <c r="X7" s="6"/>
      <c r="Y7" s="6"/>
      <c r="Z7" s="6"/>
      <c r="AA7" s="6"/>
    </row>
    <row r="8">
      <c r="A8" s="7"/>
      <c r="B8" s="1" t="s">
        <v>43</v>
      </c>
      <c r="C8" s="1" t="s">
        <v>44</v>
      </c>
      <c r="D8" s="3">
        <v>4.0</v>
      </c>
      <c r="E8" s="3">
        <v>5.0</v>
      </c>
      <c r="F8" s="3">
        <v>2.0</v>
      </c>
      <c r="G8" s="3">
        <f t="shared" si="1"/>
        <v>4</v>
      </c>
      <c r="H8" s="1" t="s">
        <v>45</v>
      </c>
      <c r="I8" s="3" t="s">
        <v>21</v>
      </c>
      <c r="J8" s="1" t="s">
        <v>46</v>
      </c>
      <c r="K8" s="5" t="s">
        <v>47</v>
      </c>
      <c r="L8" s="1" t="s">
        <v>18</v>
      </c>
      <c r="M8" s="6"/>
      <c r="N8" s="6"/>
      <c r="O8" s="6"/>
      <c r="P8" s="6"/>
      <c r="Q8" s="6"/>
      <c r="R8" s="6"/>
      <c r="S8" s="6"/>
      <c r="T8" s="6"/>
      <c r="U8" s="6"/>
      <c r="V8" s="6"/>
      <c r="W8" s="6"/>
      <c r="X8" s="6"/>
      <c r="Y8" s="6"/>
      <c r="Z8" s="6"/>
      <c r="AA8" s="6"/>
    </row>
    <row r="9">
      <c r="A9" s="1" t="s">
        <v>48</v>
      </c>
      <c r="B9" s="1" t="s">
        <v>49</v>
      </c>
      <c r="C9" s="1" t="s">
        <v>50</v>
      </c>
      <c r="D9" s="3">
        <v>2.0</v>
      </c>
      <c r="E9" s="3">
        <v>4.0</v>
      </c>
      <c r="F9" s="3">
        <v>2.0</v>
      </c>
      <c r="G9" s="3">
        <f t="shared" si="1"/>
        <v>16</v>
      </c>
      <c r="H9" s="1" t="s">
        <v>51</v>
      </c>
      <c r="I9" s="3" t="s">
        <v>21</v>
      </c>
      <c r="J9" s="1" t="s">
        <v>52</v>
      </c>
      <c r="K9" s="5" t="s">
        <v>53</v>
      </c>
      <c r="L9" s="1" t="s">
        <v>18</v>
      </c>
      <c r="M9" s="6"/>
      <c r="N9" s="6"/>
      <c r="O9" s="6"/>
      <c r="P9" s="6"/>
      <c r="Q9" s="6"/>
      <c r="R9" s="6"/>
      <c r="S9" s="6"/>
      <c r="T9" s="6"/>
      <c r="U9" s="6"/>
      <c r="V9" s="6"/>
      <c r="W9" s="6"/>
      <c r="X9" s="6"/>
      <c r="Y9" s="6"/>
      <c r="Z9" s="6"/>
      <c r="AA9" s="6"/>
    </row>
    <row r="10">
      <c r="A10" s="7"/>
      <c r="B10" s="1" t="s">
        <v>54</v>
      </c>
      <c r="C10" s="1" t="s">
        <v>55</v>
      </c>
      <c r="D10" s="3">
        <v>3.0</v>
      </c>
      <c r="E10" s="3">
        <v>5.0</v>
      </c>
      <c r="F10" s="3">
        <v>3.0</v>
      </c>
      <c r="G10" s="3">
        <f t="shared" si="1"/>
        <v>9</v>
      </c>
      <c r="H10" s="1" t="s">
        <v>51</v>
      </c>
      <c r="I10" s="3" t="s">
        <v>21</v>
      </c>
      <c r="J10" s="1" t="s">
        <v>56</v>
      </c>
      <c r="K10" s="5" t="s">
        <v>57</v>
      </c>
      <c r="L10" s="1" t="s">
        <v>18</v>
      </c>
      <c r="M10" s="6"/>
      <c r="N10" s="6"/>
      <c r="O10" s="6"/>
      <c r="P10" s="6"/>
      <c r="Q10" s="6"/>
      <c r="R10" s="6"/>
      <c r="S10" s="6"/>
      <c r="T10" s="6"/>
      <c r="U10" s="6"/>
      <c r="V10" s="6"/>
      <c r="W10" s="6"/>
      <c r="X10" s="6"/>
      <c r="Y10" s="6"/>
      <c r="Z10" s="6"/>
      <c r="AA10" s="6"/>
    </row>
    <row r="11">
      <c r="A11" s="1" t="s">
        <v>58</v>
      </c>
      <c r="B11" s="1" t="s">
        <v>59</v>
      </c>
      <c r="C11" s="1" t="s">
        <v>60</v>
      </c>
      <c r="D11" s="3">
        <v>3.0</v>
      </c>
      <c r="E11" s="3">
        <v>5.0</v>
      </c>
      <c r="F11" s="3">
        <v>3.0</v>
      </c>
      <c r="G11" s="3">
        <f t="shared" si="1"/>
        <v>9</v>
      </c>
      <c r="H11" s="1" t="s">
        <v>61</v>
      </c>
      <c r="I11" s="9">
        <v>46308.0</v>
      </c>
      <c r="J11" s="1" t="s">
        <v>62</v>
      </c>
      <c r="K11" s="5" t="s">
        <v>63</v>
      </c>
      <c r="L11" s="1" t="s">
        <v>18</v>
      </c>
      <c r="M11" s="6"/>
      <c r="N11" s="6"/>
      <c r="O11" s="6"/>
      <c r="P11" s="6"/>
      <c r="Q11" s="6"/>
      <c r="R11" s="6"/>
      <c r="S11" s="6"/>
      <c r="T11" s="6"/>
      <c r="U11" s="6"/>
      <c r="V11" s="6"/>
      <c r="W11" s="6"/>
      <c r="X11" s="6"/>
      <c r="Y11" s="6"/>
      <c r="Z11" s="6"/>
      <c r="AA11" s="6"/>
    </row>
    <row r="12">
      <c r="A12" s="8"/>
      <c r="B12" s="1" t="s">
        <v>64</v>
      </c>
      <c r="C12" s="1" t="s">
        <v>65</v>
      </c>
      <c r="D12" s="3">
        <v>4.0</v>
      </c>
      <c r="E12" s="3">
        <v>4.0</v>
      </c>
      <c r="F12" s="3">
        <v>2.0</v>
      </c>
      <c r="G12" s="3">
        <f t="shared" si="1"/>
        <v>8</v>
      </c>
      <c r="H12" s="1" t="s">
        <v>61</v>
      </c>
      <c r="I12" s="9">
        <v>46308.0</v>
      </c>
      <c r="J12" s="1" t="s">
        <v>66</v>
      </c>
      <c r="K12" s="5" t="s">
        <v>67</v>
      </c>
      <c r="L12" s="1" t="s">
        <v>18</v>
      </c>
      <c r="M12" s="6"/>
      <c r="N12" s="6"/>
      <c r="O12" s="6"/>
      <c r="P12" s="6"/>
      <c r="Q12" s="6"/>
      <c r="R12" s="6"/>
      <c r="S12" s="6"/>
      <c r="T12" s="6"/>
      <c r="U12" s="6"/>
      <c r="V12" s="6"/>
      <c r="W12" s="6"/>
      <c r="X12" s="6"/>
      <c r="Y12" s="6"/>
      <c r="Z12" s="6"/>
      <c r="AA12" s="6"/>
    </row>
    <row r="13">
      <c r="A13" s="1" t="s">
        <v>68</v>
      </c>
      <c r="B13" s="1" t="s">
        <v>69</v>
      </c>
      <c r="C13" s="1" t="s">
        <v>70</v>
      </c>
      <c r="D13" s="10">
        <v>2.0</v>
      </c>
      <c r="E13" s="3">
        <v>5.0</v>
      </c>
      <c r="F13" s="3">
        <v>3.0</v>
      </c>
      <c r="G13" s="3">
        <f t="shared" si="1"/>
        <v>12</v>
      </c>
      <c r="H13" s="1" t="s">
        <v>15</v>
      </c>
      <c r="I13" s="3" t="s">
        <v>21</v>
      </c>
      <c r="J13" s="1" t="s">
        <v>71</v>
      </c>
      <c r="K13" s="5" t="s">
        <v>72</v>
      </c>
      <c r="L13" s="1" t="s">
        <v>18</v>
      </c>
      <c r="M13" s="6"/>
      <c r="N13" s="6"/>
      <c r="O13" s="6"/>
      <c r="P13" s="6"/>
      <c r="Q13" s="6"/>
      <c r="R13" s="6"/>
      <c r="S13" s="6"/>
      <c r="T13" s="6"/>
      <c r="U13" s="6"/>
      <c r="V13" s="6"/>
      <c r="W13" s="6"/>
      <c r="X13" s="6"/>
      <c r="Y13" s="6"/>
      <c r="Z13" s="6"/>
      <c r="AA13" s="6"/>
    </row>
    <row r="14">
      <c r="A14" s="1" t="s">
        <v>73</v>
      </c>
      <c r="B14" s="11" t="s">
        <v>74</v>
      </c>
      <c r="C14" s="1" t="s">
        <v>75</v>
      </c>
      <c r="D14" s="3">
        <v>3.0</v>
      </c>
      <c r="E14" s="3">
        <v>5.0</v>
      </c>
      <c r="F14" s="3">
        <v>3.0</v>
      </c>
      <c r="G14" s="3">
        <f t="shared" si="1"/>
        <v>9</v>
      </c>
      <c r="H14" s="1" t="s">
        <v>76</v>
      </c>
      <c r="I14" s="3" t="s">
        <v>21</v>
      </c>
      <c r="J14" s="1" t="s">
        <v>77</v>
      </c>
      <c r="K14" s="5" t="s">
        <v>78</v>
      </c>
      <c r="L14" s="1" t="s">
        <v>18</v>
      </c>
      <c r="M14" s="6"/>
      <c r="N14" s="6"/>
      <c r="O14" s="6"/>
      <c r="P14" s="6"/>
      <c r="Q14" s="6"/>
      <c r="R14" s="6"/>
      <c r="S14" s="6"/>
      <c r="T14" s="6"/>
      <c r="U14" s="6"/>
      <c r="V14" s="6"/>
      <c r="W14" s="6"/>
      <c r="X14" s="6"/>
      <c r="Y14" s="6"/>
      <c r="Z14" s="6"/>
      <c r="AA14" s="6"/>
    </row>
    <row r="15">
      <c r="A15" s="8"/>
      <c r="B15" s="1" t="s">
        <v>79</v>
      </c>
      <c r="C15" s="1" t="s">
        <v>80</v>
      </c>
      <c r="D15" s="3">
        <v>3.0</v>
      </c>
      <c r="E15" s="3">
        <v>3.0</v>
      </c>
      <c r="F15" s="3">
        <v>2.0</v>
      </c>
      <c r="G15" s="3">
        <f t="shared" si="1"/>
        <v>18</v>
      </c>
      <c r="H15" s="1" t="s">
        <v>15</v>
      </c>
      <c r="I15" s="3" t="s">
        <v>21</v>
      </c>
      <c r="J15" s="1" t="s">
        <v>81</v>
      </c>
      <c r="K15" s="5" t="s">
        <v>82</v>
      </c>
      <c r="L15" s="1" t="s">
        <v>18</v>
      </c>
      <c r="M15" s="6"/>
      <c r="N15" s="6"/>
      <c r="O15" s="6"/>
      <c r="P15" s="6"/>
      <c r="Q15" s="6"/>
      <c r="R15" s="6"/>
      <c r="S15" s="6"/>
      <c r="T15" s="6"/>
      <c r="U15" s="6"/>
      <c r="V15" s="6"/>
      <c r="W15" s="6"/>
      <c r="X15" s="6"/>
      <c r="Y15" s="6"/>
      <c r="Z15" s="6"/>
      <c r="AA15" s="6"/>
    </row>
    <row r="16">
      <c r="A16" s="8"/>
      <c r="B16" s="1" t="s">
        <v>83</v>
      </c>
      <c r="C16" s="1" t="s">
        <v>84</v>
      </c>
      <c r="D16" s="3">
        <v>3.0</v>
      </c>
      <c r="E16" s="3">
        <v>4.0</v>
      </c>
      <c r="F16" s="3">
        <v>3.0</v>
      </c>
      <c r="G16" s="3">
        <f t="shared" si="1"/>
        <v>18</v>
      </c>
      <c r="H16" s="1" t="s">
        <v>15</v>
      </c>
      <c r="I16" s="9">
        <v>46308.0</v>
      </c>
      <c r="J16" s="1" t="s">
        <v>85</v>
      </c>
      <c r="K16" s="5" t="s">
        <v>86</v>
      </c>
      <c r="L16" s="1" t="s">
        <v>18</v>
      </c>
      <c r="M16" s="6"/>
      <c r="N16" s="6"/>
      <c r="O16" s="6"/>
      <c r="P16" s="6"/>
      <c r="Q16" s="6"/>
      <c r="R16" s="6"/>
      <c r="S16" s="6"/>
      <c r="T16" s="6"/>
      <c r="U16" s="6"/>
      <c r="V16" s="6"/>
      <c r="W16" s="6"/>
      <c r="X16" s="6"/>
      <c r="Y16" s="6"/>
      <c r="Z16" s="6"/>
      <c r="AA16" s="6"/>
    </row>
    <row r="17">
      <c r="A17" s="12" t="s">
        <v>73</v>
      </c>
      <c r="B17" s="13" t="s">
        <v>87</v>
      </c>
      <c r="C17" s="12" t="s">
        <v>88</v>
      </c>
      <c r="D17" s="14">
        <v>4.0</v>
      </c>
      <c r="E17" s="14">
        <v>3.0</v>
      </c>
      <c r="F17" s="14">
        <v>1.0</v>
      </c>
      <c r="G17" s="15">
        <f t="shared" ref="G17:G18" si="2">(6-D17)*(6-E17)*F17</f>
        <v>6</v>
      </c>
      <c r="H17" s="12" t="s">
        <v>89</v>
      </c>
      <c r="I17" s="16" t="s">
        <v>90</v>
      </c>
      <c r="J17" s="12" t="s">
        <v>91</v>
      </c>
      <c r="K17" s="12" t="s">
        <v>92</v>
      </c>
      <c r="L17" s="12" t="s">
        <v>18</v>
      </c>
      <c r="M17" s="6"/>
      <c r="N17" s="6"/>
      <c r="O17" s="6"/>
      <c r="P17" s="6"/>
      <c r="Q17" s="6"/>
      <c r="R17" s="6"/>
      <c r="S17" s="6"/>
      <c r="T17" s="6"/>
      <c r="U17" s="6"/>
      <c r="V17" s="6"/>
      <c r="W17" s="6"/>
      <c r="X17" s="6"/>
      <c r="Y17" s="6"/>
      <c r="Z17" s="6"/>
      <c r="AA17" s="6"/>
    </row>
    <row r="18">
      <c r="A18" s="12" t="s">
        <v>48</v>
      </c>
      <c r="B18" s="13" t="s">
        <v>93</v>
      </c>
      <c r="C18" s="12" t="s">
        <v>94</v>
      </c>
      <c r="D18" s="14">
        <v>3.0</v>
      </c>
      <c r="E18" s="14">
        <v>3.0</v>
      </c>
      <c r="F18" s="14">
        <v>1.0</v>
      </c>
      <c r="G18" s="15">
        <f t="shared" si="2"/>
        <v>9</v>
      </c>
      <c r="H18" s="12" t="s">
        <v>51</v>
      </c>
      <c r="I18" s="16" t="s">
        <v>90</v>
      </c>
      <c r="J18" s="17" t="s">
        <v>95</v>
      </c>
      <c r="K18" s="12" t="s">
        <v>96</v>
      </c>
      <c r="L18" s="12" t="s">
        <v>18</v>
      </c>
      <c r="M18" s="6"/>
      <c r="N18" s="6"/>
      <c r="O18" s="6"/>
      <c r="P18" s="6"/>
      <c r="Q18" s="6"/>
      <c r="R18" s="6"/>
      <c r="S18" s="6"/>
      <c r="T18" s="6"/>
      <c r="U18" s="6"/>
      <c r="V18" s="6"/>
      <c r="W18" s="6"/>
      <c r="X18" s="6"/>
      <c r="Y18" s="6"/>
      <c r="Z18" s="6"/>
      <c r="AA18" s="6"/>
    </row>
    <row r="19">
      <c r="A19" s="12" t="s">
        <v>97</v>
      </c>
      <c r="B19" s="13" t="s">
        <v>98</v>
      </c>
      <c r="C19" s="12" t="s">
        <v>99</v>
      </c>
      <c r="D19" s="14">
        <v>4.0</v>
      </c>
      <c r="E19" s="14">
        <v>4.0</v>
      </c>
      <c r="F19" s="14">
        <v>2.0</v>
      </c>
      <c r="G19" s="15">
        <f t="shared" ref="G19:G33" si="3">(6-D19)*(6-E19)*F19</f>
        <v>8</v>
      </c>
      <c r="H19" s="12" t="s">
        <v>51</v>
      </c>
      <c r="I19" s="18">
        <v>46314.0</v>
      </c>
      <c r="J19" s="17" t="s">
        <v>100</v>
      </c>
      <c r="K19" s="17" t="s">
        <v>101</v>
      </c>
      <c r="L19" s="17" t="s">
        <v>18</v>
      </c>
      <c r="M19" s="6"/>
      <c r="N19" s="6"/>
      <c r="O19" s="6"/>
      <c r="P19" s="6"/>
      <c r="Q19" s="6"/>
      <c r="R19" s="6"/>
      <c r="S19" s="6"/>
      <c r="T19" s="6"/>
      <c r="U19" s="6"/>
      <c r="V19" s="6"/>
      <c r="W19" s="6"/>
      <c r="X19" s="6"/>
      <c r="Y19" s="6"/>
      <c r="Z19" s="6"/>
      <c r="AA19" s="6"/>
    </row>
    <row r="20">
      <c r="A20" s="12" t="s">
        <v>97</v>
      </c>
      <c r="B20" s="13" t="s">
        <v>102</v>
      </c>
      <c r="C20" s="12" t="s">
        <v>103</v>
      </c>
      <c r="D20" s="14">
        <v>3.0</v>
      </c>
      <c r="E20" s="14">
        <v>4.0</v>
      </c>
      <c r="F20" s="14">
        <v>1.0</v>
      </c>
      <c r="G20" s="15">
        <f t="shared" si="3"/>
        <v>6</v>
      </c>
      <c r="H20" s="12" t="s">
        <v>51</v>
      </c>
      <c r="I20" s="18">
        <v>46314.0</v>
      </c>
      <c r="J20" s="17" t="s">
        <v>104</v>
      </c>
      <c r="K20" s="12" t="s">
        <v>105</v>
      </c>
      <c r="L20" s="12" t="s">
        <v>18</v>
      </c>
      <c r="M20" s="6"/>
      <c r="N20" s="6"/>
      <c r="O20" s="6"/>
      <c r="P20" s="6"/>
      <c r="Q20" s="6"/>
      <c r="R20" s="6"/>
      <c r="S20" s="6"/>
      <c r="T20" s="6"/>
      <c r="U20" s="6"/>
      <c r="V20" s="6"/>
      <c r="W20" s="6"/>
      <c r="X20" s="6"/>
      <c r="Y20" s="6"/>
      <c r="Z20" s="6"/>
      <c r="AA20" s="6"/>
    </row>
    <row r="21">
      <c r="A21" s="12" t="s">
        <v>97</v>
      </c>
      <c r="B21" s="13" t="s">
        <v>106</v>
      </c>
      <c r="C21" s="12" t="s">
        <v>107</v>
      </c>
      <c r="D21" s="14">
        <v>3.0</v>
      </c>
      <c r="E21" s="14">
        <v>3.0</v>
      </c>
      <c r="F21" s="14">
        <v>1.0</v>
      </c>
      <c r="G21" s="15">
        <f t="shared" si="3"/>
        <v>9</v>
      </c>
      <c r="H21" s="12" t="s">
        <v>51</v>
      </c>
      <c r="I21" s="18">
        <v>46314.0</v>
      </c>
      <c r="J21" s="17" t="s">
        <v>108</v>
      </c>
      <c r="K21" s="17" t="s">
        <v>109</v>
      </c>
      <c r="L21" s="17" t="s">
        <v>18</v>
      </c>
      <c r="M21" s="6"/>
      <c r="N21" s="6"/>
      <c r="O21" s="6"/>
      <c r="P21" s="6"/>
      <c r="Q21" s="6"/>
      <c r="R21" s="6"/>
      <c r="S21" s="6"/>
      <c r="T21" s="6"/>
      <c r="U21" s="6"/>
      <c r="V21" s="6"/>
      <c r="W21" s="6"/>
      <c r="X21" s="6"/>
      <c r="Y21" s="6"/>
      <c r="Z21" s="6"/>
      <c r="AA21" s="6"/>
    </row>
    <row r="22">
      <c r="A22" s="12" t="s">
        <v>110</v>
      </c>
      <c r="B22" s="13" t="s">
        <v>111</v>
      </c>
      <c r="C22" s="12" t="s">
        <v>112</v>
      </c>
      <c r="D22" s="14">
        <v>3.0</v>
      </c>
      <c r="E22" s="14">
        <v>3.0</v>
      </c>
      <c r="F22" s="14">
        <v>1.0</v>
      </c>
      <c r="G22" s="15">
        <f t="shared" si="3"/>
        <v>9</v>
      </c>
      <c r="H22" s="12" t="s">
        <v>89</v>
      </c>
      <c r="I22" s="18">
        <v>46314.0</v>
      </c>
      <c r="J22" s="17" t="s">
        <v>113</v>
      </c>
      <c r="K22" s="17" t="s">
        <v>114</v>
      </c>
      <c r="L22" s="17" t="s">
        <v>18</v>
      </c>
      <c r="M22" s="19"/>
      <c r="N22" s="6"/>
      <c r="O22" s="6"/>
      <c r="P22" s="6"/>
      <c r="Q22" s="6"/>
      <c r="R22" s="6"/>
      <c r="S22" s="6"/>
      <c r="T22" s="6"/>
      <c r="U22" s="6"/>
      <c r="V22" s="6"/>
      <c r="W22" s="6"/>
      <c r="X22" s="6"/>
      <c r="Y22" s="6"/>
      <c r="Z22" s="6"/>
      <c r="AA22" s="6"/>
    </row>
    <row r="23">
      <c r="A23" s="12" t="s">
        <v>110</v>
      </c>
      <c r="B23" s="12" t="s">
        <v>115</v>
      </c>
      <c r="C23" s="12" t="s">
        <v>116</v>
      </c>
      <c r="D23" s="12">
        <v>1.0</v>
      </c>
      <c r="E23" s="12">
        <v>5.0</v>
      </c>
      <c r="F23" s="12">
        <v>1.0</v>
      </c>
      <c r="G23" s="6">
        <f t="shared" si="3"/>
        <v>5</v>
      </c>
      <c r="H23" s="12" t="s">
        <v>89</v>
      </c>
      <c r="I23" s="20">
        <v>46314.0</v>
      </c>
      <c r="J23" s="12" t="s">
        <v>117</v>
      </c>
      <c r="K23" s="12" t="s">
        <v>118</v>
      </c>
      <c r="L23" s="12" t="s">
        <v>18</v>
      </c>
      <c r="M23" s="6"/>
      <c r="N23" s="6"/>
      <c r="O23" s="6"/>
      <c r="P23" s="6"/>
      <c r="Q23" s="6"/>
      <c r="R23" s="6"/>
      <c r="S23" s="6"/>
      <c r="T23" s="6"/>
      <c r="U23" s="6"/>
      <c r="V23" s="6"/>
      <c r="W23" s="6"/>
      <c r="X23" s="6"/>
      <c r="Y23" s="6"/>
      <c r="Z23" s="6"/>
      <c r="AA23" s="6"/>
    </row>
    <row r="24">
      <c r="A24" s="12" t="s">
        <v>73</v>
      </c>
      <c r="B24" s="12" t="s">
        <v>119</v>
      </c>
      <c r="C24" s="12" t="s">
        <v>120</v>
      </c>
      <c r="D24" s="14">
        <v>4.0</v>
      </c>
      <c r="E24" s="14">
        <v>5.0</v>
      </c>
      <c r="F24" s="14">
        <v>1.0</v>
      </c>
      <c r="G24" s="6">
        <f t="shared" si="3"/>
        <v>2</v>
      </c>
      <c r="H24" s="12" t="s">
        <v>76</v>
      </c>
      <c r="I24" s="20">
        <v>46308.0</v>
      </c>
      <c r="J24" s="12" t="s">
        <v>121</v>
      </c>
      <c r="K24" s="12" t="s">
        <v>122</v>
      </c>
      <c r="L24" s="12" t="s">
        <v>123</v>
      </c>
      <c r="M24" s="6"/>
      <c r="N24" s="6"/>
      <c r="O24" s="6"/>
      <c r="P24" s="6"/>
      <c r="Q24" s="6"/>
      <c r="R24" s="6"/>
      <c r="S24" s="6"/>
      <c r="T24" s="6"/>
      <c r="U24" s="6"/>
      <c r="V24" s="6"/>
      <c r="W24" s="6"/>
      <c r="X24" s="6"/>
      <c r="Y24" s="6"/>
      <c r="Z24" s="6"/>
      <c r="AA24" s="6"/>
    </row>
    <row r="25">
      <c r="A25" s="12" t="s">
        <v>73</v>
      </c>
      <c r="B25" s="12" t="s">
        <v>124</v>
      </c>
      <c r="C25" s="12" t="s">
        <v>125</v>
      </c>
      <c r="D25" s="14">
        <v>4.0</v>
      </c>
      <c r="E25" s="14">
        <v>4.0</v>
      </c>
      <c r="F25" s="14">
        <v>1.0</v>
      </c>
      <c r="G25" s="6">
        <f t="shared" si="3"/>
        <v>4</v>
      </c>
      <c r="H25" s="12" t="s">
        <v>76</v>
      </c>
      <c r="I25" s="20">
        <v>46308.0</v>
      </c>
      <c r="J25" s="12" t="s">
        <v>126</v>
      </c>
      <c r="K25" s="12" t="s">
        <v>127</v>
      </c>
      <c r="L25" s="12" t="s">
        <v>123</v>
      </c>
      <c r="M25" s="6"/>
      <c r="N25" s="6"/>
      <c r="O25" s="6"/>
      <c r="P25" s="6"/>
      <c r="Q25" s="6"/>
      <c r="R25" s="6"/>
      <c r="S25" s="6"/>
      <c r="T25" s="6"/>
      <c r="U25" s="6"/>
      <c r="V25" s="6"/>
      <c r="W25" s="6"/>
      <c r="X25" s="6"/>
      <c r="Y25" s="6"/>
      <c r="Z25" s="6"/>
      <c r="AA25" s="6"/>
    </row>
    <row r="26">
      <c r="A26" s="12" t="s">
        <v>73</v>
      </c>
      <c r="B26" s="12" t="s">
        <v>128</v>
      </c>
      <c r="C26" s="12" t="s">
        <v>129</v>
      </c>
      <c r="D26" s="14">
        <v>3.0</v>
      </c>
      <c r="E26" s="14">
        <v>5.0</v>
      </c>
      <c r="F26" s="14">
        <v>2.0</v>
      </c>
      <c r="G26" s="6">
        <f t="shared" si="3"/>
        <v>6</v>
      </c>
      <c r="H26" s="12" t="s">
        <v>76</v>
      </c>
      <c r="I26" s="20">
        <v>46308.0</v>
      </c>
      <c r="J26" s="12" t="s">
        <v>130</v>
      </c>
      <c r="K26" s="12" t="s">
        <v>131</v>
      </c>
      <c r="L26" s="12" t="s">
        <v>123</v>
      </c>
      <c r="M26" s="6"/>
      <c r="N26" s="6"/>
      <c r="O26" s="6"/>
      <c r="P26" s="6"/>
      <c r="Q26" s="6"/>
      <c r="R26" s="6"/>
      <c r="S26" s="6"/>
      <c r="T26" s="6"/>
      <c r="U26" s="6"/>
      <c r="V26" s="6"/>
      <c r="W26" s="6"/>
      <c r="X26" s="6"/>
      <c r="Y26" s="6"/>
      <c r="Z26" s="6"/>
      <c r="AA26" s="6"/>
    </row>
    <row r="27">
      <c r="A27" s="12" t="s">
        <v>73</v>
      </c>
      <c r="B27" s="12" t="s">
        <v>132</v>
      </c>
      <c r="C27" s="12" t="s">
        <v>133</v>
      </c>
      <c r="D27" s="14">
        <v>3.0</v>
      </c>
      <c r="E27" s="14">
        <v>4.0</v>
      </c>
      <c r="F27" s="14">
        <v>1.0</v>
      </c>
      <c r="G27" s="6">
        <f t="shared" si="3"/>
        <v>6</v>
      </c>
      <c r="H27" s="12" t="s">
        <v>76</v>
      </c>
      <c r="I27" s="20">
        <v>46308.0</v>
      </c>
      <c r="J27" s="12" t="s">
        <v>134</v>
      </c>
      <c r="K27" s="12" t="s">
        <v>135</v>
      </c>
      <c r="L27" s="12" t="s">
        <v>123</v>
      </c>
      <c r="M27" s="6"/>
      <c r="N27" s="6"/>
      <c r="O27" s="6"/>
      <c r="P27" s="6"/>
      <c r="Q27" s="6"/>
      <c r="R27" s="6"/>
      <c r="S27" s="6"/>
      <c r="T27" s="6"/>
      <c r="U27" s="6"/>
      <c r="V27" s="6"/>
      <c r="W27" s="6"/>
      <c r="X27" s="6"/>
      <c r="Y27" s="6"/>
      <c r="Z27" s="6"/>
      <c r="AA27" s="6"/>
    </row>
    <row r="28">
      <c r="A28" s="12" t="s">
        <v>73</v>
      </c>
      <c r="B28" s="13" t="s">
        <v>136</v>
      </c>
      <c r="C28" s="13" t="s">
        <v>137</v>
      </c>
      <c r="D28" s="14">
        <v>2.0</v>
      </c>
      <c r="E28" s="14">
        <v>5.0</v>
      </c>
      <c r="F28" s="14">
        <v>2.0</v>
      </c>
      <c r="G28" s="6">
        <f t="shared" si="3"/>
        <v>8</v>
      </c>
      <c r="H28" s="12" t="s">
        <v>76</v>
      </c>
      <c r="I28" s="20">
        <v>46308.0</v>
      </c>
      <c r="J28" s="12" t="s">
        <v>138</v>
      </c>
      <c r="K28" s="12" t="s">
        <v>139</v>
      </c>
      <c r="L28" s="12" t="s">
        <v>18</v>
      </c>
      <c r="M28" s="6"/>
      <c r="N28" s="6"/>
      <c r="O28" s="6"/>
      <c r="P28" s="6"/>
      <c r="Q28" s="6"/>
      <c r="R28" s="6"/>
      <c r="S28" s="6"/>
      <c r="T28" s="6"/>
      <c r="U28" s="6"/>
      <c r="V28" s="6"/>
      <c r="W28" s="6"/>
      <c r="X28" s="6"/>
      <c r="Y28" s="6"/>
      <c r="Z28" s="6"/>
      <c r="AA28" s="6"/>
    </row>
    <row r="29">
      <c r="A29" s="12" t="s">
        <v>73</v>
      </c>
      <c r="B29" s="12" t="s">
        <v>140</v>
      </c>
      <c r="C29" s="12" t="s">
        <v>141</v>
      </c>
      <c r="D29" s="14">
        <v>5.0</v>
      </c>
      <c r="E29" s="14">
        <v>2.0</v>
      </c>
      <c r="F29" s="14">
        <v>1.0</v>
      </c>
      <c r="G29" s="6">
        <f t="shared" si="3"/>
        <v>4</v>
      </c>
      <c r="H29" s="12" t="s">
        <v>142</v>
      </c>
      <c r="I29" s="20">
        <v>46314.0</v>
      </c>
      <c r="J29" s="12" t="s">
        <v>143</v>
      </c>
      <c r="K29" s="12" t="s">
        <v>144</v>
      </c>
      <c r="L29" s="12" t="s">
        <v>18</v>
      </c>
      <c r="M29" s="6"/>
      <c r="N29" s="6"/>
      <c r="O29" s="6"/>
      <c r="P29" s="6"/>
      <c r="Q29" s="6"/>
      <c r="R29" s="6"/>
      <c r="S29" s="6"/>
      <c r="T29" s="6"/>
      <c r="U29" s="6"/>
      <c r="V29" s="6"/>
      <c r="W29" s="6"/>
      <c r="X29" s="6"/>
      <c r="Y29" s="6"/>
      <c r="Z29" s="6"/>
      <c r="AA29" s="6"/>
    </row>
    <row r="30">
      <c r="A30" s="12" t="s">
        <v>58</v>
      </c>
      <c r="B30" s="12" t="s">
        <v>145</v>
      </c>
      <c r="C30" s="12" t="s">
        <v>146</v>
      </c>
      <c r="D30" s="14">
        <v>3.0</v>
      </c>
      <c r="E30" s="12">
        <v>4.0</v>
      </c>
      <c r="F30" s="12">
        <v>1.0</v>
      </c>
      <c r="G30" s="6">
        <f t="shared" si="3"/>
        <v>6</v>
      </c>
      <c r="H30" s="12" t="s">
        <v>147</v>
      </c>
      <c r="I30" s="20">
        <v>46308.0</v>
      </c>
      <c r="J30" s="12" t="s">
        <v>148</v>
      </c>
      <c r="K30" s="12" t="s">
        <v>149</v>
      </c>
      <c r="L30" s="12" t="s">
        <v>123</v>
      </c>
      <c r="M30" s="6"/>
      <c r="N30" s="6"/>
      <c r="O30" s="6"/>
      <c r="P30" s="6"/>
      <c r="Q30" s="6"/>
      <c r="R30" s="6"/>
      <c r="S30" s="6"/>
      <c r="T30" s="6"/>
      <c r="U30" s="6"/>
      <c r="V30" s="6"/>
      <c r="W30" s="6"/>
      <c r="X30" s="6"/>
      <c r="Y30" s="6"/>
      <c r="Z30" s="6"/>
      <c r="AA30" s="6"/>
    </row>
    <row r="31">
      <c r="A31" s="12" t="s">
        <v>58</v>
      </c>
      <c r="B31" s="12" t="s">
        <v>150</v>
      </c>
      <c r="C31" s="12" t="s">
        <v>151</v>
      </c>
      <c r="D31" s="12">
        <v>3.0</v>
      </c>
      <c r="E31" s="12">
        <v>3.0</v>
      </c>
      <c r="F31" s="12">
        <v>1.0</v>
      </c>
      <c r="G31" s="6">
        <f t="shared" si="3"/>
        <v>9</v>
      </c>
      <c r="H31" s="12" t="s">
        <v>147</v>
      </c>
      <c r="I31" s="20">
        <v>46308.0</v>
      </c>
      <c r="J31" s="12" t="s">
        <v>152</v>
      </c>
      <c r="K31" s="12" t="s">
        <v>153</v>
      </c>
      <c r="L31" s="12" t="s">
        <v>123</v>
      </c>
      <c r="M31" s="6"/>
      <c r="N31" s="6"/>
      <c r="O31" s="6"/>
      <c r="P31" s="6"/>
      <c r="Q31" s="6"/>
      <c r="R31" s="6"/>
      <c r="S31" s="6"/>
      <c r="T31" s="6"/>
      <c r="U31" s="6"/>
      <c r="V31" s="6"/>
      <c r="W31" s="6"/>
      <c r="X31" s="6"/>
      <c r="Y31" s="6"/>
      <c r="Z31" s="6"/>
      <c r="AA31" s="6"/>
    </row>
    <row r="32">
      <c r="A32" s="13" t="s">
        <v>48</v>
      </c>
      <c r="B32" s="13" t="s">
        <v>154</v>
      </c>
      <c r="C32" s="13" t="s">
        <v>155</v>
      </c>
      <c r="D32" s="13">
        <v>2.0</v>
      </c>
      <c r="E32" s="13">
        <v>5.0</v>
      </c>
      <c r="F32" s="13">
        <v>2.0</v>
      </c>
      <c r="G32" s="2">
        <f t="shared" si="3"/>
        <v>8</v>
      </c>
      <c r="H32" s="13" t="s">
        <v>51</v>
      </c>
      <c r="I32" s="21">
        <v>46308.0</v>
      </c>
      <c r="J32" s="13" t="s">
        <v>156</v>
      </c>
      <c r="K32" s="13" t="s">
        <v>157</v>
      </c>
      <c r="L32" s="13" t="s">
        <v>123</v>
      </c>
      <c r="M32" s="2"/>
      <c r="N32" s="2"/>
      <c r="O32" s="2"/>
      <c r="P32" s="2"/>
      <c r="Q32" s="2"/>
      <c r="R32" s="2"/>
      <c r="S32" s="2"/>
      <c r="T32" s="2"/>
      <c r="U32" s="2"/>
      <c r="V32" s="2"/>
      <c r="W32" s="2"/>
      <c r="X32" s="2"/>
      <c r="Y32" s="2"/>
      <c r="Z32" s="2"/>
      <c r="AA32" s="2"/>
    </row>
    <row r="33">
      <c r="A33" s="12" t="s">
        <v>48</v>
      </c>
      <c r="B33" s="12" t="s">
        <v>158</v>
      </c>
      <c r="C33" s="12" t="s">
        <v>159</v>
      </c>
      <c r="D33" s="14">
        <v>3.0</v>
      </c>
      <c r="E33" s="14">
        <v>4.0</v>
      </c>
      <c r="F33" s="12">
        <v>2.0</v>
      </c>
      <c r="G33" s="15">
        <f t="shared" si="3"/>
        <v>12</v>
      </c>
      <c r="H33" s="12" t="s">
        <v>51</v>
      </c>
      <c r="I33" s="20">
        <v>46308.0</v>
      </c>
      <c r="J33" s="17" t="s">
        <v>160</v>
      </c>
      <c r="K33" s="17" t="s">
        <v>161</v>
      </c>
      <c r="L33" s="17" t="s">
        <v>123</v>
      </c>
      <c r="M33" s="19"/>
      <c r="N33" s="6"/>
      <c r="O33" s="6"/>
      <c r="P33" s="6"/>
      <c r="Q33" s="6"/>
      <c r="R33" s="6"/>
      <c r="S33" s="6"/>
      <c r="T33" s="6"/>
      <c r="U33" s="6"/>
      <c r="V33" s="6"/>
      <c r="W33" s="6"/>
      <c r="X33" s="6"/>
      <c r="Y33" s="6"/>
      <c r="Z33" s="6"/>
      <c r="AA33" s="6"/>
    </row>
    <row r="34">
      <c r="A34" s="6"/>
      <c r="B34" s="6"/>
      <c r="C34" s="6"/>
      <c r="D34" s="15"/>
      <c r="E34" s="15"/>
      <c r="F34" s="6"/>
      <c r="G34" s="15"/>
      <c r="H34" s="6"/>
      <c r="I34" s="6"/>
      <c r="J34" s="19"/>
      <c r="K34" s="19"/>
      <c r="L34" s="6"/>
      <c r="M34" s="6"/>
      <c r="N34" s="6"/>
      <c r="O34" s="6"/>
      <c r="P34" s="6"/>
      <c r="Q34" s="6"/>
      <c r="R34" s="6"/>
      <c r="S34" s="6"/>
      <c r="T34" s="6"/>
      <c r="U34" s="6"/>
      <c r="V34" s="6"/>
      <c r="W34" s="6"/>
      <c r="X34" s="6"/>
      <c r="Y34" s="6"/>
      <c r="Z34" s="6"/>
      <c r="AA34" s="6"/>
    </row>
    <row r="35">
      <c r="A35" s="6"/>
      <c r="B35" s="6"/>
      <c r="C35" s="6"/>
      <c r="D35" s="15"/>
      <c r="E35" s="15"/>
      <c r="F35" s="6"/>
      <c r="G35" s="15"/>
      <c r="H35" s="6"/>
      <c r="I35" s="6"/>
      <c r="J35" s="6"/>
      <c r="K35" s="6"/>
      <c r="L35" s="6"/>
      <c r="M35" s="6"/>
      <c r="N35" s="6"/>
      <c r="O35" s="6"/>
      <c r="P35" s="6"/>
      <c r="Q35" s="6"/>
      <c r="R35" s="6"/>
      <c r="S35" s="6"/>
      <c r="T35" s="6"/>
      <c r="U35" s="6"/>
      <c r="V35" s="6"/>
      <c r="W35" s="6"/>
      <c r="X35" s="6"/>
      <c r="Y35" s="6"/>
      <c r="Z35" s="6"/>
      <c r="AA35" s="6"/>
    </row>
    <row r="36">
      <c r="A36" s="6"/>
      <c r="B36" s="6"/>
      <c r="C36" s="6"/>
      <c r="D36" s="15"/>
      <c r="E36" s="15"/>
      <c r="F36" s="6"/>
      <c r="G36" s="15"/>
      <c r="H36" s="6"/>
      <c r="I36" s="6"/>
      <c r="J36" s="6"/>
      <c r="K36" s="6"/>
      <c r="L36" s="6"/>
      <c r="M36" s="6"/>
      <c r="N36" s="6"/>
      <c r="O36" s="6"/>
      <c r="P36" s="6"/>
      <c r="Q36" s="6"/>
      <c r="R36" s="6"/>
      <c r="S36" s="6"/>
      <c r="T36" s="6"/>
      <c r="U36" s="6"/>
      <c r="V36" s="6"/>
      <c r="W36" s="6"/>
      <c r="X36" s="6"/>
      <c r="Y36" s="6"/>
      <c r="Z36" s="6"/>
      <c r="AA36" s="6"/>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sheetData>
  <printOptions gridLines="1" horizontalCentered="1"/>
  <pageMargins bottom="0.75" footer="0.0" header="0.0" left="0.7" right="0.7" top="0.75"/>
  <pageSetup fitToHeight="0" cellComments="atEnd" orientation="landscape" pageOrder="overThenDown"/>
  <drawing r:id="rId1"/>
</worksheet>
</file>