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<sst xmlns="http://schemas.openxmlformats.org/spreadsheetml/2006/main" count="135" uniqueCount="98">
  <si>
    <t>This sheet provides some common risks in student projects. You should check if it applies to your group project. 
You should also feel free to add other risks. Exemplary analysis is also added.</t>
  </si>
  <si>
    <t>Risk Category</t>
  </si>
  <si>
    <t>Risk Title</t>
  </si>
  <si>
    <t>Description</t>
  </si>
  <si>
    <t>Estimated
 likelihood 
of occurrence
(L: 1-5 with 1 lowest likelihood)</t>
  </si>
  <si>
    <t>Estimated 
Impact
(I:1-5 with 1 lowest impact)</t>
  </si>
  <si>
    <t>Estimated 
retirement 
Cost (C: 1-5 with 1 lowest cost)</t>
  </si>
  <si>
    <t>Priority (lowest number has high priority) (6-L)*(6-I)*C)</t>
  </si>
  <si>
    <t>Responsible engineer</t>
  </si>
  <si>
    <t>Target completion date</t>
  </si>
  <si>
    <t>Detailed plan</t>
  </si>
  <si>
    <t>Execution summary</t>
  </si>
  <si>
    <t>Status</t>
  </si>
  <si>
    <t xml:space="preserve">Personel </t>
  </si>
  <si>
    <t>Loss team members</t>
  </si>
  <si>
    <t>One or more team members drop the class</t>
  </si>
  <si>
    <t>team leader and all members</t>
  </si>
  <si>
    <t>Redefine the project scope if necessary, and assign the tasks to other team members.</t>
  </si>
  <si>
    <t>Realized. Two members (Paul Probst, Victor Cadena) left the course before Iteration 1 work began; the team has been four members since 09/12/2026. Mitigation executed: roles reassigned (Design &amp; Implementation Leader added to Duc, Security Leader to Miles) and scope reduced in SPPP v2 (five features removed, two moved to a lower tier). Reopened with impact rescored from 4 to 5, since each further departure now costs a quarter of the team. Iteration 2: no further departures; work was split into owned chunks across all four members.</t>
  </si>
  <si>
    <t>Open</t>
  </si>
  <si>
    <t>Lack of motivation or responsibility</t>
  </si>
  <si>
    <t>A team member may fall behind on assigned work, delaying dependent tasks or increasing the workload of other members.</t>
  </si>
  <si>
    <t>10/19/2026</t>
  </si>
  <si>
    <t>Track assignments and progress each iteration. Identify missed work early, redistribute tasks when necessary, and prioritize essential requirements over lower-priority work.</t>
  </si>
  <si>
    <t>Iteration 1 work was split into owned workstreams with stated dependencies; all four were delivered and merged (PRs #8, #14, #16, #17). Iteration 2: 11 chunks, each with a named owner, its dependencies, and a 'Done when' check, tracked in Discord and on the Jira sprint.</t>
  </si>
  <si>
    <t>Team member availability or uneven workload</t>
  </si>
  <si>
    <t>Team members may have competing responsibilities or become temporarily unavailable, and uneven distribution of work could delay essential features or create dependencies on individual team members.</t>
  </si>
  <si>
    <t>Divide essential functionality across the team while avoiding unnecessary single-person dependencies. Track work during each iteration, document implementation decisions, conduct code reviews, and redistribute tasks when workload or availability changes.</t>
  </si>
  <si>
    <t>Iteration 1 used one owner per workstream. After the team reduction, implementation is shared by all four members rather than split between frontend and backend leads. Iteration 2: backend and frontend chunks were made independent (new response fields optional on the frontend), so a late chunk could not block anyone else's.</t>
  </si>
  <si>
    <t>Communication</t>
  </si>
  <si>
    <t>duplicate/useless work</t>
  </si>
  <si>
    <t>Team members may unknowingly work on the same functionality, wasting limited development time.</t>
  </si>
  <si>
    <t>Assign ownership of tasks before development begins and track assignments using the team’s project-management system. Discuss current and upcoming work during team meetings.</t>
  </si>
  <si>
    <t>The Iteration 1 plan assigned every file to exactly one workstream and routed shared files through a single owner; no duplicated work was identified. The Iteration 2 plan did the same, with an ownership rule for every shared file; no duplicated work.</t>
  </si>
  <si>
    <t>inconsistent work</t>
  </si>
  <si>
    <t>Independently developed frontend, backend, AI, and configuration components may make incompatible assumptions about interfaces, data structures, or behavior.</t>
  </si>
  <si>
    <t>Define component interfaces and shared data structures before implementation. Communicate interface changes and integrate components regularly rather than waiting until the end of an iteration.</t>
  </si>
  <si>
    <t>The API contract, database schema, and error format were published in the Iteration 1 plan before coding, and frontend and backend were built and integrated against them (PRs #14, #16, #17). Iteration 2: the API additions (due_counts, intervals) and each study component's props were agreed in the plan before coding.</t>
  </si>
  <si>
    <t xml:space="preserve">Requirements </t>
  </si>
  <si>
    <t>unclear requirements</t>
  </si>
  <si>
    <t>Requirements may be insufficiently defined, resulting in functionality that does not meet the intended behavior of the application.</t>
  </si>
  <si>
    <t>Requirements leader</t>
  </si>
  <si>
    <t>Define essential requirements as clear user stories with expected behavior. Review requirements with the team before implementation and clarify ambiguous requirements before development begins.</t>
  </si>
  <si>
    <t>Requirements re-tiered and narrowed in SPPP v2; each remaining essential feature has a defined user story and scope. Iteration 2: every chunk had a user story and Given/When/Then acceptance examples, and tests are named after them.</t>
  </si>
  <si>
    <t>scope creep</t>
  </si>
  <si>
    <t>New AI, SRS, study, or UI capabilities may be added during development and jeopardize completion of the essential functionality.</t>
  </si>
  <si>
    <t>Requirements leader / team leader</t>
  </si>
  <si>
    <t>Maintain the essential/desirable/optional classification. Require proposed additions to be evaluated against schedule and essential requirements. Defer new functionality to desirable or optional scope when it threatens essential work.</t>
  </si>
  <si>
    <t>Scope reduced in SPPP v2 after the team shrank: five features removed and two moved to a lower tier. New work is evaluated against the remaining schedule before it is accepted. Iteration 2: typed-answer mode was cut and AI generation moved to Iteration 3 to finish study mode; the plan lists what is out of scope.</t>
  </si>
  <si>
    <t>Management</t>
  </si>
  <si>
    <t>improper task assignments</t>
  </si>
  <si>
    <t>Tasks may be assigned without considering workload, dependencies, or team members’ primary responsibilities.</t>
  </si>
  <si>
    <t>Team leader</t>
  </si>
  <si>
    <t>Assign work based on team roles and dependencies while monitoring workload. Reassign tasks when progress indicates that an assignment threatens iteration objectives.</t>
  </si>
  <si>
    <t>Iteration 1 tasks were assigned by workstream with dependencies stated up front. Roles were reassigned after two members left.</t>
  </si>
  <si>
    <t>improper planning</t>
  </si>
  <si>
    <t>Underestimating the effort required for the SRS, AI integration, frontend, backend, or deployment could prevent completion within the semester.</t>
  </si>
  <si>
    <t>Estimate work by iteration, compare estimates with actual hours after each iteration, and revise later estimates and scope based on actual progress. Prioritize essential requirements when schedule pressure occurs.</t>
  </si>
  <si>
    <t>Iteration 2 and 3 estimates revised for a four-person team in SPPP v2; actual hours are compared against estimates at the end of each iteration. Realized in Iteration 2: AI deck generation, planned for this iteration, did not fit alongside study mode and was moved to Iteration 3. Mitigation executed: study mode prioritized and delivered complete, and Iteration 3 re-planned.</t>
  </si>
  <si>
    <t>Design and implementation</t>
  </si>
  <si>
    <t>Improper design</t>
  </si>
  <si>
    <t>Poor architectural or data-model decisions could make the SRS, AI generation, duplicate detection, frontend, and backend difficult to integrate or modify.</t>
  </si>
  <si>
    <t>Design &amp; Implementation Leader</t>
  </si>
  <si>
    <t>Define the application’s major components, interfaces, and core card/deck/review data model early. Keep the card model generic rather than language-specific and review major design decisions with the team before implementation.</t>
  </si>
  <si>
    <t>Schema, API contract, and error model were defined before implementation in Iteration 1. Schema changes are now versioned as database migrations and verified against the models in CI. Iteration 2 needed no schema changes; the scheduler is a pure module behind an interface frozen in Lab 3.</t>
  </si>
  <si>
    <t>LLM generates inaccurate or low-quality flashcards</t>
  </si>
  <si>
    <t>The LLM may generate incorrect, ambiguous, irrelevant, or poorly formatted flashcards, reducing the quality and usefulness of generated decks.</t>
  </si>
  <si>
    <t>Use structured prompts and output validation. Allow users to review, edit, or delete generated cards. Test generation using representative prompts and subjects before release.</t>
  </si>
  <si>
    <t>Moved to Iteration 3 with AI generation. Planned controls unchanged: structured prompts, validation before saving, user review and editing, and a permanent AI-generated label.</t>
  </si>
  <si>
    <t xml:space="preserve">Testing </t>
  </si>
  <si>
    <t>Not enough testing</t>
  </si>
  <si>
    <t>Insufficient testing may allow defects in SRS scheduling, deck management, AI-generated data, APIs, or UI workflows to remain undetected.</t>
  </si>
  <si>
    <t>Require unit testing of critical backend/SRS logic and integration testing of major workflows. Test essential features before desirable or optional features receive development priority.</t>
  </si>
  <si>
    <t>Backend tests run against both SQLite and PostgreSQL on every pull request with a 90% minimum coverage gate; frontend lint and tests also run in CI. Iteration 2: the frontend moved to Vitest and React Testing Library, with component tests for every page and a 90% coverage gate (174 tests, 91.66%); the backend has 201 tests at 97.02%.</t>
  </si>
  <si>
    <t>Integration and deployment</t>
  </si>
  <si>
    <t>Not enough time for integration and deployment</t>
  </si>
  <si>
    <t>Components may work independently but require more integration, Docker configuration, debugging, or deployment effort than anticipated.</t>
  </si>
  <si>
    <t>Configuration Leader</t>
  </si>
  <si>
    <t>Establish the Docker environment and integration process early. Integrate frontend and backend incrementally and reserve time in each iteration for integration rather than postponing it until the end.</t>
  </si>
  <si>
    <t>Docker environment in place, and CI builds the images and smoke-tests the full stack on every pull request. CD publishes images to GHCR. Render deploy hooks are still not configured, so deploys are skipped and the demo runs on Docker Compose. Iteration 2: CI on develop failed when the image scan found OpenSSL vulnerabilities that a cached build layer had skipped patching; fixed in PR #44.</t>
  </si>
  <si>
    <t>Merge conflicts or incompatible code changes</t>
  </si>
  <si>
    <t>Concurrent development may result in merge conflicts, incompatible changes, or regressions when independently developed components are integrated.</t>
  </si>
  <si>
    <t>Use feature branches and pull requests, keep changes focused, merge frequently, review code before merging, and run automated tests or other integration checks before changes are accepted.</t>
  </si>
  <si>
    <t>Feature branches and pull requests with a required review and required CI checks, enforced by a repository ruleset. One merge conflict (PR #16) was resolved before merge. Iteration 2: one owner per file, and the one planned overlap (B2 and B3 in api/decks.py) was confined to separate lines.</t>
  </si>
  <si>
    <t>LLM API availability, rate limits, or cost</t>
  </si>
  <si>
    <t>The external LLM API may become unavailable, impose rate limits, or incur costs that interfere with AI deck generation.</t>
  </si>
  <si>
    <t>Isolate LLM access behind a service/API layer, handle API failures gracefully, limit unnecessary requests and deck-generation size, and avoid making non-AI application functionality dependent on API availability.</t>
  </si>
  <si>
    <t>Moved to Iteration 3. Planned controls unchanged: LLM calls isolated server-side, capped prompt length and cards per request, a per-user daily limit, and every other feature works without the API.</t>
  </si>
  <si>
    <t>Third-party dependency changes and vulnerabilities</t>
  </si>
  <si>
    <t>A new release of a dependency, or a newly published vulnerability, can break installs or fail CI with no change to our code.</t>
  </si>
  <si>
    <t>Security Leader</t>
  </si>
  <si>
    <t>10/13/2026</t>
  </si>
  <si>
    <t>Pin dependencies that have broken us; scan both images with Trivy and run CodeQL on every pull request; keep Dependabot security alerts on; rebuild the OS-update layer of the frontend image on every build.</t>
  </si>
  <si>
    <t>Realized twice in Iteration 2: SQLAlchemy 2.1 changed the default PostgreSQL driver and broke every connection (pinned to 2.0.54, PR #35); OpenSSL vulnerabilities failed the image scan on develop (PR #44).</t>
  </si>
  <si>
    <t>Documents drift from the code</t>
  </si>
  <si>
    <t>Design and test documents describe planned components rather than what was built, which misleads reviewers and teammates.</t>
  </si>
  <si>
    <t>Update the SDD and STD from the code at the end of every iteration, in the release pull request, and label planned work as planned.</t>
  </si>
  <si>
    <t>Realized: the Iteration 1 SDD described services, tables, and endpoints that were planned but not built. Corrected in the Iteration 2 SDD.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</si>
</sst>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dd/yyyy"/>
    <numFmt numFmtId="165" formatCode="m/d/yyyy"/>
    <numFmt numFmtId="166" formatCode="m/d"/>
  </numFmts>
  <fonts count="4">
    <font>
      <sz val="10.0"/>
      <color rgb="FF000000"/>
      <name val="Arial"/>
    </font>
    <font>
      <color rgb="FFFF0000"/>
      <name val="Arial"/>
    </font>
    <font>
      <name val="Arial"/>
    </font>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2" fontId="1" numFmtId="0" xfId="0" applyAlignment="1" applyFill="1" applyFont="1">
      <alignment shrinkToFit="0" vertical="bottom" wrapText="1"/>
    </xf>
    <xf borderId="0" fillId="0" fontId="2" numFmtId="0" xfId="0" applyAlignment="1" applyFont="1">
      <alignment vertical="bottom"/>
    </xf>
    <xf borderId="0" fillId="0" fontId="2" numFmtId="0" xfId="0" applyAlignment="1" applyFont="1">
      <alignment vertical="bottom"/>
    </xf>
    <xf borderId="0" fillId="0" fontId="3" numFmtId="0" xfId="0" applyAlignment="1" applyFont="1">
      <alignment shrinkToFit="0" wrapText="1"/>
    </xf>
    <xf borderId="0" fillId="0" fontId="2" numFmtId="0" xfId="0" applyAlignment="1" applyFont="1">
      <alignment shrinkToFit="0" vertical="bottom" wrapText="1"/>
    </xf>
    <xf borderId="0" fillId="0" fontId="2" numFmtId="0" xfId="0" applyAlignment="1" applyFont="1">
      <alignment horizontal="right" shrinkToFit="0" vertical="bottom" wrapText="1"/>
    </xf>
    <xf borderId="0" fillId="0" fontId="2" numFmtId="164" xfId="0" applyAlignment="1" applyFont="1" applyNumberFormat="1">
      <alignment horizontal="right" shrinkToFit="0" vertical="bottom" wrapText="1"/>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2" numFmtId="165" xfId="0" applyAlignment="1" applyFont="1" applyNumberFormat="1">
      <alignment horizontal="right" readingOrder="0" shrinkToFit="0" vertical="bottom" wrapText="1"/>
    </xf>
    <xf borderId="0" fillId="0" fontId="2" numFmtId="0" xfId="0" applyAlignment="1" applyFont="1">
      <alignment horizontal="right" readingOrder="0" shrinkToFit="0" vertical="bottom" wrapText="1"/>
    </xf>
    <xf borderId="0" fillId="2" fontId="2" numFmtId="0" xfId="0" applyAlignment="1" applyFill="1" applyFont="1">
      <alignment shrinkToFit="0" vertical="bottom"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horizontal="right" readingOrder="0" shrinkToFit="0" vertical="bottom" wrapText="1"/>
    </xf>
    <xf borderId="0" fillId="0" fontId="2" numFmtId="0" xfId="0" applyAlignment="1" applyFont="1">
      <alignment horizontal="right" shrinkToFit="0" vertical="bottom" wrapText="1"/>
    </xf>
    <xf quotePrefix="1" borderId="0" fillId="0" fontId="2" numFmtId="0" xfId="0" applyAlignment="1" applyFont="1">
      <alignment horizontal="right" readingOrder="0" shrinkToFit="0" vertical="bottom" wrapText="1"/>
    </xf>
    <xf borderId="1" fillId="0" fontId="2" numFmtId="0" xfId="0" applyAlignment="1" applyBorder="1" applyFont="1">
      <alignment readingOrder="0" shrinkToFit="0" vertical="bottom" wrapText="1"/>
    </xf>
    <xf borderId="0" fillId="0" fontId="2" numFmtId="166" xfId="0" applyAlignment="1" applyFont="1" applyNumberFormat="1">
      <alignment horizontal="right" shrinkToFit="0" vertical="bottom" wrapText="1"/>
    </xf>
    <xf borderId="1" fillId="0" fontId="2" numFmtId="0" xfId="0" applyAlignment="1" applyBorder="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2.25"/>
    <col customWidth="1" min="3" max="3" width="25.75"/>
    <col customWidth="1" min="4" max="4" width="8.88"/>
    <col customWidth="1" min="5" max="5" width="10.13"/>
    <col customWidth="1" min="6" max="7" width="10.88"/>
    <col customWidth="1" min="8" max="8" width="10.75"/>
    <col customWidth="1" min="9" max="9" width="11.75"/>
    <col customWidth="1" min="10" max="10" width="37.0"/>
    <col customWidth="1" min="11" max="11" width="16.38"/>
    <col customWidth="1" min="12" max="12" width="8.25"/>
  </cols>
  <sheetData>
    <row r="1" ht="37.5" customHeight="1">
      <c r="A1" s="1" t="s">
        <v>0</v>
      </c>
      <c r="B1" s="2"/>
      <c r="C1" s="2"/>
      <c r="D1" s="2"/>
      <c r="E1" s="2"/>
      <c r="F1" s="2"/>
      <c r="G1" s="2"/>
      <c r="H1" s="2"/>
      <c r="I1" s="2"/>
      <c r="J1" s="2"/>
      <c r="K1" s="2"/>
      <c r="L1" s="3"/>
      <c r="M1" s="4"/>
      <c r="N1" s="4"/>
      <c r="O1" s="4"/>
      <c r="P1" s="4"/>
      <c r="Q1" s="4"/>
      <c r="R1" s="4"/>
      <c r="S1" s="4"/>
      <c r="T1" s="4"/>
      <c r="U1" s="4"/>
      <c r="V1" s="4"/>
      <c r="W1" s="4"/>
      <c r="X1" s="4"/>
      <c r="Y1" s="4"/>
      <c r="Z1" s="4"/>
      <c r="AA1" s="4"/>
    </row>
    <row r="2">
      <c r="A2" s="5" t="s">
        <v>1</v>
      </c>
      <c r="B2" s="5" t="s">
        <v>2</v>
      </c>
      <c r="C2" s="5" t="s">
        <v>3</v>
      </c>
      <c r="D2" s="5" t="s">
        <v>4</v>
      </c>
      <c r="E2" s="5" t="s">
        <v>5</v>
      </c>
      <c r="F2" s="5" t="s">
        <v>6</v>
      </c>
      <c r="G2" s="5" t="s">
        <v>7</v>
      </c>
      <c r="H2" s="5" t="s">
        <v>8</v>
      </c>
      <c r="I2" s="5" t="s">
        <v>9</v>
      </c>
      <c r="J2" s="5" t="s">
        <v>10</v>
      </c>
      <c r="K2" s="5" t="s">
        <v>11</v>
      </c>
      <c r="L2" s="5" t="s">
        <v>12</v>
      </c>
      <c r="M2" s="4"/>
      <c r="N2" s="4"/>
      <c r="O2" s="4"/>
      <c r="P2" s="4"/>
      <c r="Q2" s="4"/>
      <c r="R2" s="4"/>
      <c r="S2" s="4"/>
      <c r="T2" s="4"/>
      <c r="U2" s="4"/>
      <c r="V2" s="4"/>
      <c r="W2" s="4"/>
      <c r="X2" s="4"/>
      <c r="Y2" s="4"/>
      <c r="Z2" s="4"/>
      <c r="AA2" s="4"/>
    </row>
    <row r="3">
      <c r="A3" s="5" t="s">
        <v>13</v>
      </c>
      <c r="B3" s="5" t="s">
        <v>14</v>
      </c>
      <c r="C3" s="5" t="s">
        <v>15</v>
      </c>
      <c r="D3" s="6">
        <v>2.0</v>
      </c>
      <c r="E3" s="6">
        <v>5.0</v>
      </c>
      <c r="F3" s="6">
        <v>4.0</v>
      </c>
      <c r="G3" s="6">
        <f t="shared" ref="G3:G17" si="1">(6-D3)*(6-E3)*F3</f>
        <v>16</v>
      </c>
      <c r="H3" s="5" t="s">
        <v>16</v>
      </c>
      <c r="I3" s="7">
        <v>46314.0</v>
      </c>
      <c r="J3" s="5" t="s">
        <v>17</v>
      </c>
      <c r="K3" s="8" t="s">
        <v>18</v>
      </c>
      <c r="L3" s="5" t="s">
        <v>19</v>
      </c>
      <c r="M3" s="9"/>
      <c r="N3" s="9"/>
      <c r="O3" s="9"/>
      <c r="P3" s="9"/>
      <c r="Q3" s="9"/>
      <c r="R3" s="9"/>
      <c r="S3" s="9"/>
      <c r="T3" s="9"/>
      <c r="U3" s="9"/>
      <c r="V3" s="9"/>
      <c r="W3" s="9"/>
      <c r="X3" s="9"/>
      <c r="Y3" s="9"/>
      <c r="Z3" s="9"/>
      <c r="AA3" s="9"/>
    </row>
    <row r="4">
      <c r="A4" s="3"/>
      <c r="B4" s="5" t="s">
        <v>20</v>
      </c>
      <c r="C4" s="5" t="s">
        <v>21</v>
      </c>
      <c r="D4" s="6">
        <v>3.0</v>
      </c>
      <c r="E4" s="6">
        <v>4.0</v>
      </c>
      <c r="F4" s="6">
        <v>3.0</v>
      </c>
      <c r="G4" s="6">
        <f t="shared" si="1"/>
        <v>18</v>
      </c>
      <c r="H4" s="5" t="s">
        <v>16</v>
      </c>
      <c r="I4" s="6" t="s">
        <v>22</v>
      </c>
      <c r="J4" s="5" t="s">
        <v>23</v>
      </c>
      <c r="K4" s="8" t="s">
        <v>24</v>
      </c>
      <c r="L4" s="5" t="s">
        <v>19</v>
      </c>
      <c r="M4" s="9"/>
      <c r="N4" s="9"/>
      <c r="O4" s="9"/>
      <c r="P4" s="9"/>
      <c r="Q4" s="9"/>
      <c r="R4" s="9"/>
      <c r="S4" s="9"/>
      <c r="T4" s="9"/>
      <c r="U4" s="9"/>
      <c r="V4" s="9"/>
      <c r="W4" s="9"/>
      <c r="X4" s="9"/>
      <c r="Y4" s="9"/>
      <c r="Z4" s="9"/>
      <c r="AA4" s="9"/>
    </row>
    <row r="5">
      <c r="A5" s="2"/>
      <c r="B5" s="5" t="s">
        <v>25</v>
      </c>
      <c r="C5" s="5" t="s">
        <v>26</v>
      </c>
      <c r="D5" s="6">
        <v>3.0</v>
      </c>
      <c r="E5" s="6">
        <v>4.0</v>
      </c>
      <c r="F5" s="6">
        <v>2.0</v>
      </c>
      <c r="G5" s="6">
        <f t="shared" si="1"/>
        <v>12</v>
      </c>
      <c r="H5" s="5" t="s">
        <v>16</v>
      </c>
      <c r="I5" s="6" t="s">
        <v>22</v>
      </c>
      <c r="J5" s="5" t="s">
        <v>27</v>
      </c>
      <c r="K5" s="8" t="s">
        <v>28</v>
      </c>
      <c r="L5" s="5" t="s">
        <v>19</v>
      </c>
      <c r="M5" s="9"/>
      <c r="N5" s="9"/>
      <c r="O5" s="9"/>
      <c r="P5" s="9"/>
      <c r="Q5" s="9"/>
      <c r="R5" s="9"/>
      <c r="S5" s="9"/>
      <c r="T5" s="9"/>
      <c r="U5" s="9"/>
      <c r="V5" s="9"/>
      <c r="W5" s="9"/>
      <c r="X5" s="9"/>
      <c r="Y5" s="9"/>
      <c r="Z5" s="9"/>
      <c r="AA5" s="9"/>
    </row>
    <row r="6">
      <c r="A6" s="5" t="s">
        <v>29</v>
      </c>
      <c r="B6" s="5" t="s">
        <v>30</v>
      </c>
      <c r="C6" s="5" t="s">
        <v>31</v>
      </c>
      <c r="D6" s="6">
        <v>2.0</v>
      </c>
      <c r="E6" s="6">
        <v>3.0</v>
      </c>
      <c r="F6" s="6">
        <v>1.0</v>
      </c>
      <c r="G6" s="6">
        <f t="shared" si="1"/>
        <v>12</v>
      </c>
      <c r="H6" s="5" t="s">
        <v>16</v>
      </c>
      <c r="I6" s="6" t="s">
        <v>22</v>
      </c>
      <c r="J6" s="5" t="s">
        <v>32</v>
      </c>
      <c r="K6" s="8" t="s">
        <v>33</v>
      </c>
      <c r="L6" s="5" t="s">
        <v>19</v>
      </c>
      <c r="M6" s="9"/>
      <c r="N6" s="9"/>
      <c r="O6" s="9"/>
      <c r="P6" s="9"/>
      <c r="Q6" s="9"/>
      <c r="R6" s="9"/>
      <c r="S6" s="9"/>
      <c r="T6" s="9"/>
      <c r="U6" s="9"/>
      <c r="V6" s="9"/>
      <c r="W6" s="9"/>
      <c r="X6" s="9"/>
      <c r="Y6" s="9"/>
      <c r="Z6" s="9"/>
      <c r="AA6" s="9"/>
    </row>
    <row r="7">
      <c r="A7" s="2"/>
      <c r="B7" s="5" t="s">
        <v>34</v>
      </c>
      <c r="C7" s="5" t="s">
        <v>35</v>
      </c>
      <c r="D7" s="6">
        <v>3.0</v>
      </c>
      <c r="E7" s="6">
        <v>4.0</v>
      </c>
      <c r="F7" s="6">
        <v>2.0</v>
      </c>
      <c r="G7" s="6">
        <f t="shared" si="1"/>
        <v>12</v>
      </c>
      <c r="H7" s="5" t="s">
        <v>16</v>
      </c>
      <c r="I7" s="10">
        <v>46308.0</v>
      </c>
      <c r="J7" s="5" t="s">
        <v>36</v>
      </c>
      <c r="K7" s="8" t="s">
        <v>37</v>
      </c>
      <c r="L7" s="5" t="s">
        <v>19</v>
      </c>
      <c r="M7" s="9"/>
      <c r="N7" s="9"/>
      <c r="O7" s="9"/>
      <c r="P7" s="9"/>
      <c r="Q7" s="9"/>
      <c r="R7" s="9"/>
      <c r="S7" s="9"/>
      <c r="T7" s="9"/>
      <c r="U7" s="9"/>
      <c r="V7" s="9"/>
      <c r="W7" s="9"/>
      <c r="X7" s="9"/>
      <c r="Y7" s="9"/>
      <c r="Z7" s="9"/>
      <c r="AA7" s="9"/>
    </row>
    <row r="8">
      <c r="A8" s="5" t="s">
        <v>38</v>
      </c>
      <c r="B8" s="5" t="s">
        <v>39</v>
      </c>
      <c r="C8" s="5" t="s">
        <v>40</v>
      </c>
      <c r="D8" s="6">
        <v>3.0</v>
      </c>
      <c r="E8" s="6">
        <v>4.0</v>
      </c>
      <c r="F8" s="6">
        <v>2.0</v>
      </c>
      <c r="G8" s="6">
        <f t="shared" si="1"/>
        <v>12</v>
      </c>
      <c r="H8" s="5" t="s">
        <v>41</v>
      </c>
      <c r="I8" s="10">
        <v>46308.0</v>
      </c>
      <c r="J8" s="5" t="s">
        <v>42</v>
      </c>
      <c r="K8" s="8" t="s">
        <v>43</v>
      </c>
      <c r="L8" s="5" t="s">
        <v>19</v>
      </c>
      <c r="M8" s="9"/>
      <c r="N8" s="9"/>
      <c r="O8" s="9"/>
      <c r="P8" s="9"/>
      <c r="Q8" s="9"/>
      <c r="R8" s="9"/>
      <c r="S8" s="9"/>
      <c r="T8" s="9"/>
      <c r="U8" s="9"/>
      <c r="V8" s="9"/>
      <c r="W8" s="9"/>
      <c r="X8" s="9"/>
      <c r="Y8" s="9"/>
      <c r="Z8" s="9"/>
      <c r="AA8" s="9"/>
    </row>
    <row r="9">
      <c r="A9" s="3"/>
      <c r="B9" s="5" t="s">
        <v>44</v>
      </c>
      <c r="C9" s="5" t="s">
        <v>45</v>
      </c>
      <c r="D9" s="6">
        <v>4.0</v>
      </c>
      <c r="E9" s="6">
        <v>5.0</v>
      </c>
      <c r="F9" s="6">
        <v>2.0</v>
      </c>
      <c r="G9" s="6">
        <f t="shared" si="1"/>
        <v>4</v>
      </c>
      <c r="H9" s="5" t="s">
        <v>46</v>
      </c>
      <c r="I9" s="6" t="s">
        <v>22</v>
      </c>
      <c r="J9" s="5" t="s">
        <v>47</v>
      </c>
      <c r="K9" s="8" t="s">
        <v>48</v>
      </c>
      <c r="L9" s="5" t="s">
        <v>19</v>
      </c>
      <c r="M9" s="9"/>
      <c r="N9" s="9"/>
      <c r="O9" s="9"/>
      <c r="P9" s="9"/>
      <c r="Q9" s="9"/>
      <c r="R9" s="9"/>
      <c r="S9" s="9"/>
      <c r="T9" s="9"/>
      <c r="U9" s="9"/>
      <c r="V9" s="9"/>
      <c r="W9" s="9"/>
      <c r="X9" s="9"/>
      <c r="Y9" s="9"/>
      <c r="Z9" s="9"/>
      <c r="AA9" s="9"/>
    </row>
    <row r="10">
      <c r="A10" s="5" t="s">
        <v>49</v>
      </c>
      <c r="B10" s="5" t="s">
        <v>50</v>
      </c>
      <c r="C10" s="5" t="s">
        <v>51</v>
      </c>
      <c r="D10" s="6">
        <v>2.0</v>
      </c>
      <c r="E10" s="6">
        <v>4.0</v>
      </c>
      <c r="F10" s="6">
        <v>2.0</v>
      </c>
      <c r="G10" s="6">
        <f t="shared" si="1"/>
        <v>16</v>
      </c>
      <c r="H10" s="5" t="s">
        <v>52</v>
      </c>
      <c r="I10" s="6" t="s">
        <v>22</v>
      </c>
      <c r="J10" s="5" t="s">
        <v>53</v>
      </c>
      <c r="K10" s="8" t="s">
        <v>54</v>
      </c>
      <c r="L10" s="5" t="s">
        <v>19</v>
      </c>
      <c r="M10" s="9"/>
      <c r="N10" s="9"/>
      <c r="O10" s="9"/>
      <c r="P10" s="9"/>
      <c r="Q10" s="9"/>
      <c r="R10" s="9"/>
      <c r="S10" s="9"/>
      <c r="T10" s="9"/>
      <c r="U10" s="9"/>
      <c r="V10" s="9"/>
      <c r="W10" s="9"/>
      <c r="X10" s="9"/>
      <c r="Y10" s="9"/>
      <c r="Z10" s="9"/>
      <c r="AA10" s="9"/>
    </row>
    <row r="11">
      <c r="A11" s="3"/>
      <c r="B11" s="5" t="s">
        <v>55</v>
      </c>
      <c r="C11" s="5" t="s">
        <v>56</v>
      </c>
      <c r="D11" s="6">
        <v>3.0</v>
      </c>
      <c r="E11" s="6">
        <v>5.0</v>
      </c>
      <c r="F11" s="6">
        <v>3.0</v>
      </c>
      <c r="G11" s="6">
        <f t="shared" si="1"/>
        <v>9</v>
      </c>
      <c r="H11" s="5" t="s">
        <v>52</v>
      </c>
      <c r="I11" s="6" t="s">
        <v>22</v>
      </c>
      <c r="J11" s="5" t="s">
        <v>57</v>
      </c>
      <c r="K11" s="8" t="s">
        <v>58</v>
      </c>
      <c r="L11" s="5" t="s">
        <v>19</v>
      </c>
      <c r="M11" s="9"/>
      <c r="N11" s="9"/>
      <c r="O11" s="9"/>
      <c r="P11" s="9"/>
      <c r="Q11" s="9"/>
      <c r="R11" s="9"/>
      <c r="S11" s="9"/>
      <c r="T11" s="9"/>
      <c r="U11" s="9"/>
      <c r="V11" s="9"/>
      <c r="W11" s="9"/>
      <c r="X11" s="9"/>
      <c r="Y11" s="9"/>
      <c r="Z11" s="9"/>
      <c r="AA11" s="9"/>
    </row>
    <row r="12">
      <c r="A12" s="5" t="s">
        <v>59</v>
      </c>
      <c r="B12" s="5" t="s">
        <v>60</v>
      </c>
      <c r="C12" s="5" t="s">
        <v>61</v>
      </c>
      <c r="D12" s="6">
        <v>3.0</v>
      </c>
      <c r="E12" s="6">
        <v>5.0</v>
      </c>
      <c r="F12" s="6">
        <v>3.0</v>
      </c>
      <c r="G12" s="6">
        <f t="shared" si="1"/>
        <v>9</v>
      </c>
      <c r="H12" s="5" t="s">
        <v>62</v>
      </c>
      <c r="I12" s="10">
        <v>46308.0</v>
      </c>
      <c r="J12" s="5" t="s">
        <v>63</v>
      </c>
      <c r="K12" s="8" t="s">
        <v>64</v>
      </c>
      <c r="L12" s="5" t="s">
        <v>19</v>
      </c>
      <c r="M12" s="9"/>
      <c r="N12" s="9"/>
      <c r="O12" s="9"/>
      <c r="P12" s="9"/>
      <c r="Q12" s="9"/>
      <c r="R12" s="9"/>
      <c r="S12" s="9"/>
      <c r="T12" s="9"/>
      <c r="U12" s="9"/>
      <c r="V12" s="9"/>
      <c r="W12" s="9"/>
      <c r="X12" s="9"/>
      <c r="Y12" s="9"/>
      <c r="Z12" s="9"/>
      <c r="AA12" s="9"/>
    </row>
    <row r="13">
      <c r="A13" s="2"/>
      <c r="B13" s="5" t="s">
        <v>65</v>
      </c>
      <c r="C13" s="5" t="s">
        <v>66</v>
      </c>
      <c r="D13" s="6">
        <v>4.0</v>
      </c>
      <c r="E13" s="6">
        <v>4.0</v>
      </c>
      <c r="F13" s="6">
        <v>2.0</v>
      </c>
      <c r="G13" s="6">
        <f t="shared" si="1"/>
        <v>8</v>
      </c>
      <c r="H13" s="5" t="s">
        <v>62</v>
      </c>
      <c r="I13" s="10">
        <v>46308.0</v>
      </c>
      <c r="J13" s="5" t="s">
        <v>67</v>
      </c>
      <c r="K13" s="8" t="s">
        <v>68</v>
      </c>
      <c r="L13" s="5" t="s">
        <v>19</v>
      </c>
      <c r="M13" s="9"/>
      <c r="N13" s="9"/>
      <c r="O13" s="9"/>
      <c r="P13" s="9"/>
      <c r="Q13" s="9"/>
      <c r="R13" s="9"/>
      <c r="S13" s="9"/>
      <c r="T13" s="9"/>
      <c r="U13" s="9"/>
      <c r="V13" s="9"/>
      <c r="W13" s="9"/>
      <c r="X13" s="9"/>
      <c r="Y13" s="9"/>
      <c r="Z13" s="9"/>
      <c r="AA13" s="9"/>
    </row>
    <row r="14">
      <c r="A14" s="5" t="s">
        <v>69</v>
      </c>
      <c r="B14" s="5" t="s">
        <v>70</v>
      </c>
      <c r="C14" s="5" t="s">
        <v>71</v>
      </c>
      <c r="D14" s="11">
        <v>2.0</v>
      </c>
      <c r="E14" s="6">
        <v>5.0</v>
      </c>
      <c r="F14" s="6">
        <v>3.0</v>
      </c>
      <c r="G14" s="6">
        <f t="shared" si="1"/>
        <v>12</v>
      </c>
      <c r="H14" s="5" t="s">
        <v>16</v>
      </c>
      <c r="I14" s="6" t="s">
        <v>22</v>
      </c>
      <c r="J14" s="5" t="s">
        <v>72</v>
      </c>
      <c r="K14" s="8" t="s">
        <v>73</v>
      </c>
      <c r="L14" s="5" t="s">
        <v>19</v>
      </c>
      <c r="M14" s="9"/>
      <c r="N14" s="9"/>
      <c r="O14" s="9"/>
      <c r="P14" s="9"/>
      <c r="Q14" s="9"/>
      <c r="R14" s="9"/>
      <c r="S14" s="9"/>
      <c r="T14" s="9"/>
      <c r="U14" s="9"/>
      <c r="V14" s="9"/>
      <c r="W14" s="9"/>
      <c r="X14" s="9"/>
      <c r="Y14" s="9"/>
      <c r="Z14" s="9"/>
      <c r="AA14" s="9"/>
    </row>
    <row r="15">
      <c r="A15" s="5" t="s">
        <v>74</v>
      </c>
      <c r="B15" s="12" t="s">
        <v>75</v>
      </c>
      <c r="C15" s="5" t="s">
        <v>76</v>
      </c>
      <c r="D15" s="6">
        <v>3.0</v>
      </c>
      <c r="E15" s="6">
        <v>5.0</v>
      </c>
      <c r="F15" s="6">
        <v>3.0</v>
      </c>
      <c r="G15" s="6">
        <f t="shared" si="1"/>
        <v>9</v>
      </c>
      <c r="H15" s="5" t="s">
        <v>77</v>
      </c>
      <c r="I15" s="6" t="s">
        <v>22</v>
      </c>
      <c r="J15" s="5" t="s">
        <v>78</v>
      </c>
      <c r="K15" s="8" t="s">
        <v>79</v>
      </c>
      <c r="L15" s="5" t="s">
        <v>19</v>
      </c>
      <c r="M15" s="9"/>
      <c r="N15" s="9"/>
      <c r="O15" s="9"/>
      <c r="P15" s="9"/>
      <c r="Q15" s="9"/>
      <c r="R15" s="9"/>
      <c r="S15" s="9"/>
      <c r="T15" s="9"/>
      <c r="U15" s="9"/>
      <c r="V15" s="9"/>
      <c r="W15" s="9"/>
      <c r="X15" s="9"/>
      <c r="Y15" s="9"/>
      <c r="Z15" s="9"/>
      <c r="AA15" s="9"/>
    </row>
    <row r="16">
      <c r="A16" s="2"/>
      <c r="B16" s="5" t="s">
        <v>80</v>
      </c>
      <c r="C16" s="5" t="s">
        <v>81</v>
      </c>
      <c r="D16" s="6">
        <v>3.0</v>
      </c>
      <c r="E16" s="6">
        <v>3.0</v>
      </c>
      <c r="F16" s="6">
        <v>2.0</v>
      </c>
      <c r="G16" s="6">
        <f t="shared" si="1"/>
        <v>18</v>
      </c>
      <c r="H16" s="5" t="s">
        <v>16</v>
      </c>
      <c r="I16" s="6" t="s">
        <v>22</v>
      </c>
      <c r="J16" s="5" t="s">
        <v>82</v>
      </c>
      <c r="K16" s="8" t="s">
        <v>83</v>
      </c>
      <c r="L16" s="5" t="s">
        <v>19</v>
      </c>
      <c r="M16" s="9"/>
      <c r="N16" s="9"/>
      <c r="O16" s="9"/>
      <c r="P16" s="9"/>
      <c r="Q16" s="9"/>
      <c r="R16" s="9"/>
      <c r="S16" s="9"/>
      <c r="T16" s="9"/>
      <c r="U16" s="9"/>
      <c r="V16" s="9"/>
      <c r="W16" s="9"/>
      <c r="X16" s="9"/>
      <c r="Y16" s="9"/>
      <c r="Z16" s="9"/>
      <c r="AA16" s="9"/>
    </row>
    <row r="17">
      <c r="A17" s="2"/>
      <c r="B17" s="5" t="s">
        <v>84</v>
      </c>
      <c r="C17" s="5" t="s">
        <v>85</v>
      </c>
      <c r="D17" s="6">
        <v>3.0</v>
      </c>
      <c r="E17" s="6">
        <v>4.0</v>
      </c>
      <c r="F17" s="6">
        <v>3.0</v>
      </c>
      <c r="G17" s="6">
        <f t="shared" si="1"/>
        <v>18</v>
      </c>
      <c r="H17" s="5" t="s">
        <v>16</v>
      </c>
      <c r="I17" s="10">
        <v>46308.0</v>
      </c>
      <c r="J17" s="5" t="s">
        <v>86</v>
      </c>
      <c r="K17" s="8" t="s">
        <v>87</v>
      </c>
      <c r="L17" s="5" t="s">
        <v>19</v>
      </c>
      <c r="M17" s="9"/>
      <c r="N17" s="9"/>
      <c r="O17" s="9"/>
      <c r="P17" s="9"/>
      <c r="Q17" s="9"/>
      <c r="R17" s="9"/>
      <c r="S17" s="9"/>
      <c r="T17" s="9"/>
      <c r="U17" s="9"/>
      <c r="V17" s="9"/>
      <c r="W17" s="9"/>
      <c r="X17" s="9"/>
      <c r="Y17" s="9"/>
      <c r="Z17" s="9"/>
      <c r="AA17" s="9"/>
    </row>
    <row r="18">
      <c r="A18" s="13" t="s">
        <v>74</v>
      </c>
      <c r="B18" s="14" t="s">
        <v>88</v>
      </c>
      <c r="C18" s="13" t="s">
        <v>89</v>
      </c>
      <c r="D18" s="15">
        <v>4.0</v>
      </c>
      <c r="E18" s="15">
        <v>3.0</v>
      </c>
      <c r="F18" s="15">
        <v>1.0</v>
      </c>
      <c r="G18" s="16">
        <f t="shared" ref="G18:G19" si="2">(6-D18)*(6-E18)*F18</f>
        <v>6</v>
      </c>
      <c r="H18" s="13" t="s">
        <v>90</v>
      </c>
      <c r="I18" s="17" t="s">
        <v>91</v>
      </c>
      <c r="J18" s="13" t="s">
        <v>92</v>
      </c>
      <c r="K18" s="13" t="s">
        <v>93</v>
      </c>
      <c r="L18" s="13" t="s">
        <v>19</v>
      </c>
      <c r="M18" s="9"/>
      <c r="N18" s="9"/>
      <c r="O18" s="9"/>
      <c r="P18" s="9"/>
      <c r="Q18" s="9"/>
      <c r="R18" s="9"/>
      <c r="S18" s="9"/>
      <c r="T18" s="9"/>
      <c r="U18" s="9"/>
      <c r="V18" s="9"/>
      <c r="W18" s="9"/>
      <c r="X18" s="9"/>
      <c r="Y18" s="9"/>
      <c r="Z18" s="9"/>
      <c r="AA18" s="9"/>
    </row>
    <row r="19">
      <c r="A19" s="13" t="s">
        <v>49</v>
      </c>
      <c r="B19" s="14" t="s">
        <v>94</v>
      </c>
      <c r="C19" s="13" t="s">
        <v>95</v>
      </c>
      <c r="D19" s="15">
        <v>3.0</v>
      </c>
      <c r="E19" s="15">
        <v>3.0</v>
      </c>
      <c r="F19" s="15">
        <v>1.0</v>
      </c>
      <c r="G19" s="16">
        <f t="shared" si="2"/>
        <v>9</v>
      </c>
      <c r="H19" s="13" t="s">
        <v>52</v>
      </c>
      <c r="I19" s="17" t="s">
        <v>91</v>
      </c>
      <c r="J19" s="18" t="s">
        <v>96</v>
      </c>
      <c r="K19" s="13" t="s">
        <v>97</v>
      </c>
      <c r="L19" s="13" t="s">
        <v>19</v>
      </c>
      <c r="M19" s="9"/>
      <c r="N19" s="9"/>
      <c r="O19" s="9"/>
      <c r="P19" s="9"/>
      <c r="Q19" s="9"/>
      <c r="R19" s="9"/>
      <c r="S19" s="9"/>
      <c r="T19" s="9"/>
      <c r="U19" s="9"/>
      <c r="V19" s="9"/>
      <c r="W19" s="9"/>
      <c r="X19" s="9"/>
      <c r="Y19" s="9"/>
      <c r="Z19" s="9"/>
      <c r="AA19" s="9"/>
    </row>
    <row r="20">
      <c r="A20" s="9"/>
      <c r="B20" s="4"/>
      <c r="C20" s="9"/>
      <c r="D20" s="16"/>
      <c r="E20" s="16"/>
      <c r="F20" s="16"/>
      <c r="G20" s="16"/>
      <c r="H20" s="9"/>
      <c r="I20" s="19"/>
      <c r="J20" s="20"/>
      <c r="K20" s="20"/>
      <c r="L20" s="20"/>
      <c r="M20" s="9"/>
      <c r="N20" s="9"/>
      <c r="O20" s="9"/>
      <c r="P20" s="9"/>
      <c r="Q20" s="9"/>
      <c r="R20" s="9"/>
      <c r="S20" s="9"/>
      <c r="T20" s="9"/>
      <c r="U20" s="9"/>
      <c r="V20" s="9"/>
      <c r="W20" s="9"/>
      <c r="X20" s="9"/>
      <c r="Y20" s="9"/>
      <c r="Z20" s="9"/>
      <c r="AA20" s="9"/>
    </row>
    <row r="21">
      <c r="A21" s="9"/>
      <c r="B21" s="4"/>
      <c r="C21" s="9"/>
      <c r="D21" s="16"/>
      <c r="E21" s="16"/>
      <c r="F21" s="16"/>
      <c r="G21" s="16"/>
      <c r="H21" s="9"/>
      <c r="I21" s="19"/>
      <c r="J21" s="20"/>
      <c r="K21" s="9"/>
      <c r="L21" s="9"/>
      <c r="M21" s="9"/>
      <c r="N21" s="9"/>
      <c r="O21" s="9"/>
      <c r="P21" s="9"/>
      <c r="Q21" s="9"/>
      <c r="R21" s="9"/>
      <c r="S21" s="9"/>
      <c r="T21" s="9"/>
      <c r="U21" s="9"/>
      <c r="V21" s="9"/>
      <c r="W21" s="9"/>
      <c r="X21" s="9"/>
      <c r="Y21" s="9"/>
      <c r="Z21" s="9"/>
      <c r="AA21" s="9"/>
    </row>
    <row r="22">
      <c r="A22" s="9"/>
      <c r="B22" s="4"/>
      <c r="C22" s="9"/>
      <c r="D22" s="16"/>
      <c r="E22" s="16"/>
      <c r="F22" s="16"/>
      <c r="G22" s="16"/>
      <c r="H22" s="9"/>
      <c r="I22" s="19"/>
      <c r="J22" s="20"/>
      <c r="K22" s="20"/>
      <c r="L22" s="20"/>
      <c r="M22" s="9"/>
      <c r="N22" s="9"/>
      <c r="O22" s="9"/>
      <c r="P22" s="9"/>
      <c r="Q22" s="9"/>
      <c r="R22" s="9"/>
      <c r="S22" s="9"/>
      <c r="T22" s="9"/>
      <c r="U22" s="9"/>
      <c r="V22" s="9"/>
      <c r="W22" s="9"/>
      <c r="X22" s="9"/>
      <c r="Y22" s="9"/>
      <c r="Z22" s="9"/>
      <c r="AA22" s="9"/>
    </row>
    <row r="23">
      <c r="A23" s="9"/>
      <c r="B23" s="4"/>
      <c r="C23" s="9"/>
      <c r="D23" s="16"/>
      <c r="E23" s="16"/>
      <c r="F23" s="16"/>
      <c r="G23" s="16"/>
      <c r="H23" s="9"/>
      <c r="I23" s="19"/>
      <c r="J23" s="20"/>
      <c r="K23" s="20"/>
      <c r="L23" s="20"/>
      <c r="M23" s="20"/>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16"/>
      <c r="E25" s="16"/>
      <c r="F25" s="16"/>
      <c r="G25" s="9"/>
      <c r="H25" s="9"/>
      <c r="I25" s="9"/>
      <c r="J25" s="9"/>
      <c r="K25" s="9"/>
      <c r="L25" s="9"/>
      <c r="M25" s="9"/>
      <c r="N25" s="9"/>
      <c r="O25" s="9"/>
      <c r="P25" s="9"/>
      <c r="Q25" s="9"/>
      <c r="R25" s="9"/>
      <c r="S25" s="9"/>
      <c r="T25" s="9"/>
      <c r="U25" s="9"/>
      <c r="V25" s="9"/>
      <c r="W25" s="9"/>
      <c r="X25" s="9"/>
      <c r="Y25" s="9"/>
      <c r="Z25" s="9"/>
      <c r="AA25" s="9"/>
    </row>
    <row r="26">
      <c r="A26" s="9"/>
      <c r="B26" s="9"/>
      <c r="C26" s="9"/>
      <c r="D26" s="16"/>
      <c r="E26" s="16"/>
      <c r="F26" s="16"/>
      <c r="G26" s="9"/>
      <c r="H26" s="9"/>
      <c r="I26" s="9"/>
      <c r="J26" s="9"/>
      <c r="K26" s="9"/>
      <c r="L26" s="9"/>
      <c r="M26" s="9"/>
      <c r="N26" s="9"/>
      <c r="O26" s="9"/>
      <c r="P26" s="9"/>
      <c r="Q26" s="9"/>
      <c r="R26" s="9"/>
      <c r="S26" s="9"/>
      <c r="T26" s="9"/>
      <c r="U26" s="9"/>
      <c r="V26" s="9"/>
      <c r="W26" s="9"/>
      <c r="X26" s="9"/>
      <c r="Y26" s="9"/>
      <c r="Z26" s="9"/>
      <c r="AA26" s="9"/>
    </row>
    <row r="27">
      <c r="A27" s="9"/>
      <c r="B27" s="9"/>
      <c r="C27" s="9"/>
      <c r="D27" s="16"/>
      <c r="E27" s="16"/>
      <c r="F27" s="16"/>
      <c r="G27" s="9"/>
      <c r="H27" s="9"/>
      <c r="I27" s="9"/>
      <c r="J27" s="9"/>
      <c r="K27" s="9"/>
      <c r="L27" s="9"/>
      <c r="M27" s="9"/>
      <c r="N27" s="9"/>
      <c r="O27" s="9"/>
      <c r="P27" s="9"/>
      <c r="Q27" s="9"/>
      <c r="R27" s="9"/>
      <c r="S27" s="9"/>
      <c r="T27" s="9"/>
      <c r="U27" s="9"/>
      <c r="V27" s="9"/>
      <c r="W27" s="9"/>
      <c r="X27" s="9"/>
      <c r="Y27" s="9"/>
      <c r="Z27" s="9"/>
      <c r="AA27" s="9"/>
    </row>
    <row r="28">
      <c r="A28" s="9"/>
      <c r="B28" s="9"/>
      <c r="C28" s="9"/>
      <c r="D28" s="16"/>
      <c r="E28" s="16"/>
      <c r="F28" s="16"/>
      <c r="G28" s="9"/>
      <c r="H28" s="9"/>
      <c r="I28" s="9"/>
      <c r="J28" s="9"/>
      <c r="K28" s="9"/>
      <c r="L28" s="9"/>
      <c r="M28" s="9"/>
      <c r="N28" s="9"/>
      <c r="O28" s="9"/>
      <c r="P28" s="9"/>
      <c r="Q28" s="9"/>
      <c r="R28" s="9"/>
      <c r="S28" s="9"/>
      <c r="T28" s="9"/>
      <c r="U28" s="9"/>
      <c r="V28" s="9"/>
      <c r="W28" s="9"/>
      <c r="X28" s="9"/>
      <c r="Y28" s="9"/>
      <c r="Z28" s="9"/>
      <c r="AA28" s="9"/>
    </row>
    <row r="29">
      <c r="A29" s="9"/>
      <c r="B29" s="4"/>
      <c r="C29" s="4"/>
      <c r="D29" s="16"/>
      <c r="E29" s="16"/>
      <c r="F29" s="16"/>
      <c r="G29" s="9"/>
      <c r="H29" s="9"/>
      <c r="I29" s="9"/>
      <c r="J29" s="9"/>
      <c r="K29" s="9"/>
      <c r="L29" s="9"/>
      <c r="M29" s="9"/>
      <c r="N29" s="9"/>
      <c r="O29" s="9"/>
      <c r="P29" s="9"/>
      <c r="Q29" s="9"/>
      <c r="R29" s="9"/>
      <c r="S29" s="9"/>
      <c r="T29" s="9"/>
      <c r="U29" s="9"/>
      <c r="V29" s="9"/>
      <c r="W29" s="9"/>
      <c r="X29" s="9"/>
      <c r="Y29" s="9"/>
      <c r="Z29" s="9"/>
      <c r="AA29" s="9"/>
    </row>
    <row r="30">
      <c r="A30" s="9"/>
      <c r="B30" s="9"/>
      <c r="C30" s="9"/>
      <c r="D30" s="16"/>
      <c r="E30" s="16"/>
      <c r="F30" s="16"/>
      <c r="G30" s="9"/>
      <c r="H30" s="9"/>
      <c r="I30" s="9"/>
      <c r="J30" s="9"/>
      <c r="K30" s="9"/>
      <c r="L30" s="9"/>
      <c r="M30" s="9"/>
      <c r="N30" s="9"/>
      <c r="O30" s="9"/>
      <c r="P30" s="9"/>
      <c r="Q30" s="9"/>
      <c r="R30" s="9"/>
      <c r="S30" s="9"/>
      <c r="T30" s="9"/>
      <c r="U30" s="9"/>
      <c r="V30" s="9"/>
      <c r="W30" s="9"/>
      <c r="X30" s="9"/>
      <c r="Y30" s="9"/>
      <c r="Z30" s="9"/>
      <c r="AA30" s="9"/>
    </row>
    <row r="31">
      <c r="A31" s="9"/>
      <c r="B31" s="9"/>
      <c r="C31" s="9"/>
      <c r="D31" s="16"/>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9"/>
      <c r="B34" s="9"/>
      <c r="C34" s="9"/>
      <c r="D34" s="16"/>
      <c r="E34" s="16"/>
      <c r="F34" s="9"/>
      <c r="G34" s="16"/>
      <c r="H34" s="9"/>
      <c r="I34" s="9"/>
      <c r="J34" s="20"/>
      <c r="K34" s="20"/>
      <c r="L34" s="20"/>
      <c r="M34" s="20"/>
      <c r="N34" s="9"/>
      <c r="O34" s="9"/>
      <c r="P34" s="9"/>
      <c r="Q34" s="9"/>
      <c r="R34" s="9"/>
      <c r="S34" s="9"/>
      <c r="T34" s="9"/>
      <c r="U34" s="9"/>
      <c r="V34" s="9"/>
      <c r="W34" s="9"/>
      <c r="X34" s="9"/>
      <c r="Y34" s="9"/>
      <c r="Z34" s="9"/>
      <c r="AA34" s="9"/>
    </row>
    <row r="35">
      <c r="A35" s="9"/>
      <c r="B35" s="9"/>
      <c r="C35" s="9"/>
      <c r="D35" s="16"/>
      <c r="E35" s="16"/>
      <c r="F35" s="9"/>
      <c r="G35" s="16"/>
      <c r="H35" s="9"/>
      <c r="I35" s="9"/>
      <c r="J35" s="20"/>
      <c r="K35" s="20"/>
      <c r="L35" s="9"/>
      <c r="M35" s="9"/>
      <c r="N35" s="9"/>
      <c r="O35" s="9"/>
      <c r="P35" s="9"/>
      <c r="Q35" s="9"/>
      <c r="R35" s="9"/>
      <c r="S35" s="9"/>
      <c r="T35" s="9"/>
      <c r="U35" s="9"/>
      <c r="V35" s="9"/>
      <c r="W35" s="9"/>
      <c r="X35" s="9"/>
      <c r="Y35" s="9"/>
      <c r="Z35" s="9"/>
      <c r="AA35" s="9"/>
    </row>
    <row r="36">
      <c r="A36" s="9"/>
      <c r="B36" s="9"/>
      <c r="C36" s="9"/>
      <c r="D36" s="16"/>
      <c r="E36" s="16"/>
      <c r="F36" s="9"/>
      <c r="G36" s="16"/>
      <c r="H36" s="9"/>
      <c r="I36" s="9"/>
      <c r="J36" s="9"/>
      <c r="K36" s="9"/>
      <c r="L36" s="9"/>
      <c r="M36" s="9"/>
      <c r="N36" s="9"/>
      <c r="O36" s="9"/>
      <c r="P36" s="9"/>
      <c r="Q36" s="9"/>
      <c r="R36" s="9"/>
      <c r="S36" s="9"/>
      <c r="T36" s="9"/>
      <c r="U36" s="9"/>
      <c r="V36" s="9"/>
      <c r="W36" s="9"/>
      <c r="X36" s="9"/>
      <c r="Y36" s="9"/>
      <c r="Z36" s="9"/>
      <c r="AA36" s="9"/>
    </row>
    <row r="37">
      <c r="A37" s="9"/>
      <c r="B37" s="9"/>
      <c r="C37" s="9"/>
      <c r="D37" s="16"/>
      <c r="E37" s="16"/>
      <c r="F37" s="9"/>
      <c r="G37" s="16"/>
      <c r="H37" s="9"/>
      <c r="I37" s="9"/>
      <c r="J37" s="9"/>
      <c r="K37" s="9"/>
      <c r="L37" s="9"/>
      <c r="M37" s="9"/>
      <c r="N37" s="9"/>
      <c r="O37" s="9"/>
      <c r="P37" s="9"/>
      <c r="Q37" s="9"/>
      <c r="R37" s="9"/>
      <c r="S37" s="9"/>
      <c r="T37" s="9"/>
      <c r="U37" s="9"/>
      <c r="V37" s="9"/>
      <c r="W37" s="9"/>
      <c r="X37" s="9"/>
      <c r="Y37" s="9"/>
      <c r="Z37" s="9"/>
      <c r="AA37" s="9"/>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sheetData>
  <drawing r:id="rId1"/>
</worksheet>
</file>